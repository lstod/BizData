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gagements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Data 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&quot;%&quot;"/>
    <numFmt numFmtId="166" formatCode="#,##0.0"/>
    <numFmt numFmtId="167" formatCode="yyyy-mm-dd"/>
    <numFmt numFmtId="168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0" fontId="1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8CBAD"/>
          <bgColor rgb="00F8CBAD"/>
        </patternFill>
      </fill>
    </dxf>
    <dxf>
      <font>
        <color rgb="007F6000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>
      <c r="A1" s="1" t="inlineStr">
        <is>
          <t>Delivery and margin review</t>
        </is>
      </c>
    </row>
    <row r="2">
      <c r="A2" t="inlineStr">
        <is>
          <t>Period</t>
        </is>
      </c>
      <c r="B2" t="inlineStr">
        <is>
          <t>2026-08</t>
        </is>
      </c>
    </row>
    <row r="3">
      <c r="A3" t="inlineStr">
        <is>
          <t>Run id</t>
        </is>
      </c>
      <c r="B3" t="inlineStr">
        <is>
          <t>delivery-review-2026-08</t>
        </is>
      </c>
    </row>
    <row r="4">
      <c r="A4" t="inlineStr">
        <is>
          <t>Scoring model version</t>
        </is>
      </c>
      <c r="B4" t="inlineStr">
        <is>
          <t>v1.0</t>
        </is>
      </c>
    </row>
    <row r="6">
      <c r="A6" s="1" t="inlineStr">
        <is>
          <t>Portfolio</t>
        </is>
      </c>
    </row>
    <row r="7">
      <c r="A7" t="inlineStr">
        <is>
          <t>Engagements in the book</t>
        </is>
      </c>
      <c r="B7">
        <f>COUNT(Engagements!A2:A19)</f>
        <v/>
      </c>
    </row>
    <row r="8">
      <c r="A8" t="inlineStr">
        <is>
          <t>Examined in detail</t>
        </is>
      </c>
      <c r="B8">
        <f>COUNTIF(Engagements!T2:T19,"yes")</f>
        <v/>
      </c>
    </row>
    <row r="9">
      <c r="A9" t="inlineStr">
        <is>
          <t>Ceiling hours</t>
        </is>
      </c>
      <c r="B9" s="2">
        <f>SUM(Engagements!J2:J19)</f>
        <v/>
      </c>
    </row>
    <row r="10">
      <c r="A10" t="inlineStr">
        <is>
          <t>Hours to date</t>
        </is>
      </c>
      <c r="B10" s="2">
        <f>SUM(Engagements!K2:K19)</f>
        <v/>
      </c>
    </row>
    <row r="11">
      <c r="A11" t="inlineStr">
        <is>
          <t>Ceiling amount</t>
        </is>
      </c>
      <c r="B11" s="3">
        <f>SUM(Engagements!M2:M19)</f>
        <v/>
      </c>
    </row>
    <row r="12">
      <c r="A12" t="inlineStr">
        <is>
          <t>Over their ceiling</t>
        </is>
      </c>
      <c r="B12">
        <f>COUNTIF(Engagements!L2:L19,"&gt;1")</f>
        <v/>
      </c>
    </row>
    <row r="13">
      <c r="A13" t="inlineStr">
        <is>
          <t>Above 70% burn</t>
        </is>
      </c>
      <c r="B13">
        <f>COUNTIF(Engagements!L2:L19,"&gt;0.7")</f>
        <v/>
      </c>
    </row>
    <row r="14">
      <c r="A14" t="inlineStr">
        <is>
          <t>Not in the green band</t>
        </is>
      </c>
      <c r="B14">
        <f>COUNTIF(Engagements!Q2:Q19,"&lt;&gt;green")</f>
        <v/>
      </c>
    </row>
    <row r="15">
      <c r="A15" t="inlineStr">
        <is>
          <t>Above 70% person concentration</t>
        </is>
      </c>
      <c r="B15">
        <f>COUNTIF(Engagements!N2:N19,"&gt;70")</f>
        <v/>
      </c>
    </row>
    <row r="16">
      <c r="A16" t="inlineStr">
        <is>
          <t>Projections reported low confidence</t>
        </is>
      </c>
      <c r="B16">
        <f>COUNTIF(Engagements!AA2:AA19,"low")</f>
        <v/>
      </c>
    </row>
    <row r="17">
      <c r="A17" t="inlineStr">
        <is>
          <t>Exceptions raised</t>
        </is>
      </c>
      <c r="B17">
        <f>COUNT(Exceptions!A2:A200)</f>
        <v/>
      </c>
    </row>
    <row r="19">
      <c r="A19" s="1" t="inlineStr">
        <is>
          <t>Portfolio, as the tools measured it</t>
        </is>
      </c>
    </row>
    <row r="20">
      <c r="A20" t="inlineStr">
        <is>
          <t>Active engagements</t>
        </is>
      </c>
      <c r="B20" t="n">
        <v>18</v>
      </c>
    </row>
    <row r="21">
      <c r="A21" t="inlineStr">
        <is>
          <t>Clients</t>
        </is>
      </c>
      <c r="B21" t="n">
        <v>11</v>
      </c>
    </row>
    <row r="22">
      <c r="A22" t="inlineStr">
        <is>
          <t>In the green band</t>
        </is>
      </c>
      <c r="B22" t="n">
        <v>13</v>
      </c>
    </row>
    <row r="23">
      <c r="A23" t="inlineStr">
        <is>
          <t>Ceiling hours</t>
        </is>
      </c>
      <c r="B23" s="2" t="n">
        <v>44390</v>
      </c>
    </row>
    <row r="24">
      <c r="A24" t="inlineStr">
        <is>
          <t>Hours to date</t>
        </is>
      </c>
      <c r="B24" s="2" t="n">
        <v>25882.1</v>
      </c>
    </row>
    <row r="25">
      <c r="A25" t="inlineStr">
        <is>
          <t>Portfolio burn</t>
        </is>
      </c>
      <c r="B25" s="4" t="n">
        <v>58.3</v>
      </c>
    </row>
    <row r="26">
      <c r="A26" t="inlineStr">
        <is>
          <t>Revenue to date</t>
        </is>
      </c>
      <c r="B26" s="3" t="n">
        <v>8081943.63</v>
      </c>
    </row>
    <row r="27">
      <c r="A27" t="inlineStr">
        <is>
          <t>Cost to date</t>
        </is>
      </c>
      <c r="B27" s="3" t="n">
        <v>3169258.7</v>
      </c>
    </row>
    <row r="28">
      <c r="A28" t="inlineStr">
        <is>
          <t>Blended margin</t>
        </is>
      </c>
      <c r="B28" s="4" t="n">
        <v>60.8</v>
      </c>
    </row>
    <row r="29">
      <c r="A29" t="inlineStr">
        <is>
          <t>Mean health score</t>
        </is>
      </c>
      <c r="B29" s="5" t="n">
        <v>83.40000000000001</v>
      </c>
    </row>
    <row r="30">
      <c r="A30" t="inlineStr">
        <is>
          <t>Blended margin, movement vs prior month</t>
        </is>
      </c>
      <c r="B30" s="4" t="n">
        <v>-2.9</v>
      </c>
    </row>
    <row r="31">
      <c r="A31" t="inlineStr">
        <is>
          <t>Mean health score, movement vs prior month</t>
        </is>
      </c>
      <c r="B31" s="5" t="n">
        <v>-1.2</v>
      </c>
    </row>
    <row r="32">
      <c r="A32" t="inlineStr">
        <is>
          <t>Hours to date, movement vs prior month</t>
        </is>
      </c>
      <c r="B32" s="2" t="n">
        <v>2737.7</v>
      </c>
    </row>
    <row r="34">
      <c r="A34" s="1" t="inlineStr">
        <is>
          <t>Reporting coverage</t>
        </is>
      </c>
    </row>
    <row r="35">
      <c r="A35" t="inlineStr">
        <is>
          <t>Weeks below the coverage floor</t>
        </is>
      </c>
      <c r="B35" t="n">
        <v>1</v>
      </c>
    </row>
    <row r="36">
      <c r="A36" t="inlineStr">
        <is>
          <t>Lowest weekly reporting coverage</t>
        </is>
      </c>
      <c r="B36" s="4" t="n">
        <v>16.7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17" customWidth="1" min="9" max="9"/>
    <col width="16" customWidth="1" min="10" max="10"/>
    <col width="16" customWidth="1" min="11" max="11"/>
    <col width="11" customWidth="1" min="12" max="12"/>
    <col width="17" customWidth="1" min="13" max="13"/>
    <col width="26" customWidth="1" min="14" max="14"/>
    <col width="15" customWidth="1" min="15" max="15"/>
    <col width="15" customWidth="1" min="16" max="16"/>
    <col width="14" customWidth="1" min="17" max="17"/>
    <col width="26" customWidth="1" min="18" max="18"/>
    <col width="18" customWidth="1" min="19" max="19"/>
    <col width="11" customWidth="1" min="20" max="20"/>
    <col width="18" customWidth="1" min="21" max="21"/>
    <col width="22" customWidth="1" min="22" max="22"/>
    <col width="16" customWidth="1" min="23" max="23"/>
    <col width="22" customWidth="1" min="24" max="24"/>
    <col width="24" customWidth="1" min="25" max="25"/>
    <col width="24" customWidth="1" min="26" max="26"/>
    <col width="24" customWidth="1" min="27" max="27"/>
    <col width="52" customWidth="1" min="28" max="28"/>
    <col width="26" customWidth="1" min="29" max="29"/>
    <col width="24" customWidth="1" min="30" max="30"/>
    <col width="17" customWidth="1" min="31" max="31"/>
    <col width="11" customWidth="1" min="32" max="32"/>
    <col width="11" customWidth="1" min="33" max="33"/>
    <col width="15" customWidth="1" min="34" max="34"/>
    <col width="15" customWidth="1" min="35" max="35"/>
    <col width="25" customWidth="1" min="36" max="36"/>
    <col width="13" customWidth="1" min="37" max="37"/>
    <col width="18" customWidth="1" min="38" max="38"/>
    <col width="11" customWidth="1" min="39" max="39"/>
    <col width="20" customWidth="1" min="40" max="40"/>
    <col width="26" customWidth="1" min="41" max="41"/>
  </cols>
  <sheetData>
    <row r="1">
      <c r="A1" s="6" t="inlineStr">
        <is>
          <t>engagement_id</t>
        </is>
      </c>
      <c r="B1" s="6" t="inlineStr">
        <is>
          <t>client_name</t>
        </is>
      </c>
      <c r="C1" s="6" t="inlineStr">
        <is>
          <t>name</t>
        </is>
      </c>
      <c r="D1" s="6" t="inlineStr">
        <is>
          <t>sow_ref</t>
        </is>
      </c>
      <c r="E1" s="6" t="inlineStr">
        <is>
          <t>fee_type</t>
        </is>
      </c>
      <c r="F1" s="6" t="inlineStr">
        <is>
          <t>status</t>
        </is>
      </c>
      <c r="G1" s="6" t="inlineStr">
        <is>
          <t>start_date</t>
        </is>
      </c>
      <c r="H1" s="6" t="inlineStr">
        <is>
          <t>end_date</t>
        </is>
      </c>
      <c r="I1" s="6" t="inlineStr">
        <is>
          <t>days_remaining</t>
        </is>
      </c>
      <c r="J1" s="6" t="inlineStr">
        <is>
          <t>ceiling_hours</t>
        </is>
      </c>
      <c r="K1" s="6" t="inlineStr">
        <is>
          <t>hours_to_date</t>
        </is>
      </c>
      <c r="L1" s="6" t="inlineStr">
        <is>
          <t>burn_pct</t>
        </is>
      </c>
      <c r="M1" s="6" t="inlineStr">
        <is>
          <t>ceiling_amount</t>
        </is>
      </c>
      <c r="N1" s="6" t="inlineStr">
        <is>
          <t>person_concentration_pct</t>
        </is>
      </c>
      <c r="O1" s="6" t="inlineStr">
        <is>
          <t>people_count</t>
        </is>
      </c>
      <c r="P1" s="6" t="inlineStr">
        <is>
          <t>health_score</t>
        </is>
      </c>
      <c r="Q1" s="6" t="inlineStr">
        <is>
          <t>health_band</t>
        </is>
      </c>
      <c r="R1" s="6" t="inlineStr">
        <is>
          <t>score_delta_vs_prior_period</t>
        </is>
      </c>
      <c r="S1" s="6" t="inlineStr">
        <is>
          <t>top_risk_factor</t>
        </is>
      </c>
      <c r="T1" s="6" t="inlineStr">
        <is>
          <t>examined</t>
        </is>
      </c>
      <c r="U1" s="6" t="inlineStr">
        <is>
          <t>hours_remaining</t>
        </is>
      </c>
      <c r="V1" s="6" t="inlineStr">
        <is>
          <t>weekly_run_rate_4wk</t>
        </is>
      </c>
      <c r="W1" s="6" t="inlineStr">
        <is>
          <t>weeks_counted</t>
        </is>
      </c>
      <c r="X1" s="6" t="inlineStr">
        <is>
          <t>weeks_with_no_hours</t>
        </is>
      </c>
      <c r="Y1" s="6" t="inlineStr">
        <is>
          <t>projected_total_hours</t>
        </is>
      </c>
      <c r="Z1" s="6" t="inlineStr">
        <is>
          <t>projected_overrun_pct</t>
        </is>
      </c>
      <c r="AA1" s="6" t="inlineStr">
        <is>
          <t>projection_confidence</t>
        </is>
      </c>
      <c r="AB1" s="6" t="inlineStr">
        <is>
          <t>confidence_reason</t>
        </is>
      </c>
      <c r="AC1" s="6" t="inlineStr">
        <is>
          <t>run_rate_vs_baseline_pct</t>
        </is>
      </c>
      <c r="AD1" s="6" t="inlineStr">
        <is>
          <t>days_since_last_entry</t>
        </is>
      </c>
      <c r="AE1" s="6" t="inlineStr">
        <is>
          <t>late_entry_pct</t>
        </is>
      </c>
      <c r="AF1" s="6" t="inlineStr">
        <is>
          <t>invoiced</t>
        </is>
      </c>
      <c r="AG1" s="6" t="inlineStr">
        <is>
          <t>paid</t>
        </is>
      </c>
      <c r="AH1" s="6" t="inlineStr">
        <is>
          <t>wip_unbilled</t>
        </is>
      </c>
      <c r="AI1" s="6" t="inlineStr">
        <is>
          <t>cost_to_date</t>
        </is>
      </c>
      <c r="AJ1" s="6" t="inlineStr">
        <is>
          <t>billable_value_to_date</t>
        </is>
      </c>
      <c r="AK1" s="6" t="inlineStr">
        <is>
          <t>margin_pct</t>
        </is>
      </c>
      <c r="AL1" s="6" t="inlineStr">
        <is>
          <t>realisation_pct</t>
        </is>
      </c>
      <c r="AM1" s="6" t="inlineStr">
        <is>
          <t>dso_days</t>
        </is>
      </c>
      <c r="AN1" s="6" t="inlineStr">
        <is>
          <t>dso_baseline_days</t>
        </is>
      </c>
      <c r="AO1" s="6" t="inlineStr">
        <is>
          <t>payment_behaviour_change_pct</t>
        </is>
      </c>
    </row>
    <row r="2">
      <c r="A2" t="n">
        <v>2</v>
      </c>
      <c r="B2" t="inlineStr">
        <is>
          <t>Oakhaven Logistics Collective</t>
        </is>
      </c>
      <c r="C2" t="inlineStr">
        <is>
          <t>Credit Risk Migration</t>
        </is>
      </c>
      <c r="D2" t="inlineStr">
        <is>
          <t>SOW-2026-002</t>
        </is>
      </c>
      <c r="E2" t="inlineStr">
        <is>
          <t>fixed</t>
        </is>
      </c>
      <c r="F2" t="inlineStr">
        <is>
          <t>active</t>
        </is>
      </c>
      <c r="G2" s="7" t="inlineStr">
        <is>
          <t>2026-01-28</t>
        </is>
      </c>
      <c r="H2" s="7" t="inlineStr">
        <is>
          <t>2026-08-21</t>
        </is>
      </c>
      <c r="I2" t="n">
        <v>0</v>
      </c>
      <c r="J2" s="2" t="n">
        <v>1980</v>
      </c>
      <c r="K2" s="2" t="n">
        <v>575.9</v>
      </c>
      <c r="L2" s="8">
        <f>IF(N(J2)&gt;0,K2/J2,"")</f>
        <v/>
      </c>
      <c r="M2" s="3" t="n">
        <v>420591.6</v>
      </c>
      <c r="N2" s="4" t="n">
        <v>55.5</v>
      </c>
      <c r="O2" t="n">
        <v>3</v>
      </c>
      <c r="P2" s="5" t="n">
        <v>99.7</v>
      </c>
      <c r="Q2" t="inlineStr">
        <is>
          <t>green</t>
        </is>
      </c>
      <c r="R2" s="5" t="n">
        <v>-0.3</v>
      </c>
      <c r="S2" t="inlineStr">
        <is>
          <t>payment_behaviour</t>
        </is>
      </c>
      <c r="T2" t="inlineStr">
        <is>
          <t>yes</t>
        </is>
      </c>
      <c r="U2" s="2" t="n">
        <v>1404.1</v>
      </c>
      <c r="V2" s="2" t="n">
        <v>17.55</v>
      </c>
      <c r="W2" t="n">
        <v>4</v>
      </c>
      <c r="X2" t="n">
        <v>0</v>
      </c>
      <c r="Y2" s="2" t="n">
        <v>575.9</v>
      </c>
      <c r="Z2" s="8">
        <f>IF(AND(N(J2)&gt;0,Y2&lt;&gt;""),MAX(0,Y2-J2)/J2,"")</f>
        <v/>
      </c>
      <c r="AA2" t="inlineStr">
        <is>
          <t>high</t>
        </is>
      </c>
      <c r="AB2" t="inlineStr">
        <is>
          <t>4 readable weeks with time logged in every one, 0.0% of entries filed after the period closed</t>
        </is>
      </c>
      <c r="AC2" s="4" t="n">
        <v>-32</v>
      </c>
      <c r="AD2" s="5" t="n">
        <v>0</v>
      </c>
      <c r="AE2" s="4" t="n">
        <v>0</v>
      </c>
      <c r="AF2" s="3" t="n">
        <v>280394.4</v>
      </c>
      <c r="AG2" s="3" t="n">
        <v>280394.4</v>
      </c>
      <c r="AH2" s="3" t="n">
        <v>-156504.3</v>
      </c>
      <c r="AI2" s="3" t="n">
        <v>70481.3</v>
      </c>
      <c r="AJ2" s="3" t="n">
        <v>123890.1</v>
      </c>
      <c r="AK2" s="8">
        <f>IF(AI2="","",IF(E2="fixed",IF(N(M2)&gt;0,(M2-AI2)/M2,""),IF(N(AJ2)&gt;0,(AJ2-AI2)/AJ2,"")))</f>
        <v/>
      </c>
      <c r="AL2" s="4" t="n">
        <v>86.8</v>
      </c>
      <c r="AM2" s="5" t="n">
        <v>29.5</v>
      </c>
      <c r="AN2" s="5" t="n">
        <v>29</v>
      </c>
      <c r="AO2" s="4" t="n">
        <v>1.7</v>
      </c>
    </row>
    <row r="3">
      <c r="A3" t="n">
        <v>3</v>
      </c>
      <c r="B3" t="inlineStr">
        <is>
          <t>Ashcombe Health Partners</t>
        </is>
      </c>
      <c r="C3" t="inlineStr">
        <is>
          <t>Revenue Assurance Optimisation</t>
        </is>
      </c>
      <c r="D3" t="inlineStr">
        <is>
          <t>SOW-2026-003</t>
        </is>
      </c>
      <c r="E3" t="inlineStr">
        <is>
          <t>time_and_materials</t>
        </is>
      </c>
      <c r="F3" t="inlineStr">
        <is>
          <t>active</t>
        </is>
      </c>
      <c r="G3" s="7" t="inlineStr">
        <is>
          <t>2026-01-09</t>
        </is>
      </c>
      <c r="H3" s="7" t="inlineStr">
        <is>
          <t>2026-10-31</t>
        </is>
      </c>
      <c r="I3" t="n">
        <v>61</v>
      </c>
      <c r="J3" s="2" t="n">
        <v>940</v>
      </c>
      <c r="K3" s="2" t="n">
        <v>642.1</v>
      </c>
      <c r="L3" s="8">
        <f>IF(N(J3)&gt;0,K3/J3,"")</f>
        <v/>
      </c>
      <c r="M3" s="3" t="n">
        <v>232180</v>
      </c>
      <c r="N3" s="4" t="n">
        <v>46.2</v>
      </c>
      <c r="O3" t="n">
        <v>3</v>
      </c>
      <c r="P3" s="5" t="n">
        <v>98.3</v>
      </c>
      <c r="Q3" t="inlineStr">
        <is>
          <t>green</t>
        </is>
      </c>
      <c r="R3" s="5" t="n">
        <v>-0.9</v>
      </c>
      <c r="S3" t="inlineStr">
        <is>
          <t>burn_trajectory</t>
        </is>
      </c>
      <c r="T3" t="inlineStr">
        <is>
          <t>no</t>
        </is>
      </c>
      <c r="U3" s="2" t="n"/>
      <c r="V3" s="2" t="n"/>
      <c r="Y3" s="2" t="n"/>
      <c r="Z3" s="8">
        <f>IF(AND(N(J3)&gt;0,Y3&lt;&gt;""),MAX(0,Y3-J3)/J3,"")</f>
        <v/>
      </c>
      <c r="AC3" s="4" t="n"/>
      <c r="AD3" s="5" t="n"/>
      <c r="AE3" s="4" t="n"/>
      <c r="AF3" s="3" t="n"/>
      <c r="AG3" s="3" t="n"/>
      <c r="AH3" s="3" t="n"/>
      <c r="AI3" s="3" t="n"/>
      <c r="AJ3" s="3" t="n"/>
      <c r="AK3" s="8">
        <f>IF(AI3="","",IF(E3="fixed",IF(N(M3)&gt;0,(M3-AI3)/M3,""),IF(N(AJ3)&gt;0,(AJ3-AI3)/AJ3,"")))</f>
        <v/>
      </c>
      <c r="AL3" s="4" t="n"/>
      <c r="AM3" s="5" t="n"/>
      <c r="AN3" s="5" t="n"/>
      <c r="AO3" s="4" t="n"/>
    </row>
    <row r="4">
      <c r="A4" t="n">
        <v>5</v>
      </c>
      <c r="B4" t="inlineStr">
        <is>
          <t>Pentland Media Group</t>
        </is>
      </c>
      <c r="C4" t="inlineStr">
        <is>
          <t>Procurement Modernisation</t>
        </is>
      </c>
      <c r="D4" t="inlineStr">
        <is>
          <t>SOW-2026-005</t>
        </is>
      </c>
      <c r="E4" t="inlineStr">
        <is>
          <t>fixed</t>
        </is>
      </c>
      <c r="F4" t="inlineStr">
        <is>
          <t>active</t>
        </is>
      </c>
      <c r="G4" s="7" t="inlineStr">
        <is>
          <t>2026-01-31</t>
        </is>
      </c>
      <c r="H4" s="7" t="inlineStr">
        <is>
          <t>2026-10-10</t>
        </is>
      </c>
      <c r="I4" t="n">
        <v>40</v>
      </c>
      <c r="J4" s="2" t="n">
        <v>2690</v>
      </c>
      <c r="K4" s="2" t="n">
        <v>1751.5</v>
      </c>
      <c r="L4" s="8">
        <f>IF(N(J4)&gt;0,K4/J4,"")</f>
        <v/>
      </c>
      <c r="M4" s="3" t="n">
        <v>133038.43</v>
      </c>
      <c r="N4" s="4" t="n">
        <v>24.8</v>
      </c>
      <c r="O4" t="n">
        <v>5</v>
      </c>
      <c r="P4" s="5" t="n">
        <v>69</v>
      </c>
      <c r="Q4" t="inlineStr">
        <is>
          <t>amber</t>
        </is>
      </c>
      <c r="R4" s="5" t="n">
        <v>-11.2</v>
      </c>
      <c r="S4" t="inlineStr">
        <is>
          <t>margin</t>
        </is>
      </c>
      <c r="T4" t="inlineStr">
        <is>
          <t>yes</t>
        </is>
      </c>
      <c r="U4" s="2" t="n">
        <v>938.5</v>
      </c>
      <c r="V4" s="2" t="n">
        <v>68.88</v>
      </c>
      <c r="W4" t="n">
        <v>4</v>
      </c>
      <c r="X4" t="n">
        <v>0</v>
      </c>
      <c r="Y4" s="2" t="n">
        <v>2145.1</v>
      </c>
      <c r="Z4" s="8">
        <f>IF(AND(N(J4)&gt;0,Y4&lt;&gt;""),MAX(0,Y4-J4)/J4,"")</f>
        <v/>
      </c>
      <c r="AA4" t="inlineStr">
        <is>
          <t>high</t>
        </is>
      </c>
      <c r="AB4" t="inlineStr">
        <is>
          <t>4 readable weeks with time logged in every one, 3.4% of entries filed after the period closed</t>
        </is>
      </c>
      <c r="AC4" s="4" t="n">
        <v>37.2</v>
      </c>
      <c r="AD4" s="5" t="n">
        <v>0</v>
      </c>
      <c r="AE4" s="4" t="n">
        <v>3.4</v>
      </c>
      <c r="AF4" s="3" t="n">
        <v>83149.02</v>
      </c>
      <c r="AG4" s="3" t="n">
        <v>49889.41</v>
      </c>
      <c r="AH4" s="3" t="n">
        <v>247112.18</v>
      </c>
      <c r="AI4" s="3" t="n">
        <v>156515.8</v>
      </c>
      <c r="AJ4" s="3" t="n">
        <v>330261.2</v>
      </c>
      <c r="AK4" s="8">
        <f>IF(AI4="","",IF(E4="fixed",IF(N(M4)&gt;0,(M4-AI4)/M4,""),IF(N(AJ4)&gt;0,(AJ4-AI4)/AJ4,"")))</f>
        <v/>
      </c>
      <c r="AL4" s="4" t="n">
        <v>87</v>
      </c>
      <c r="AM4" s="5" t="n">
        <v>44</v>
      </c>
      <c r="AN4" s="5" t="n">
        <v>41.1</v>
      </c>
      <c r="AO4" s="4" t="n">
        <v>6.9</v>
      </c>
    </row>
    <row r="5">
      <c r="A5" t="n">
        <v>7</v>
      </c>
      <c r="B5" t="inlineStr">
        <is>
          <t>Braemar Retail Corporation</t>
        </is>
      </c>
      <c r="C5" t="inlineStr">
        <is>
          <t>Revenue Assurance Discovery</t>
        </is>
      </c>
      <c r="D5" t="inlineStr">
        <is>
          <t>SOW-2026-007</t>
        </is>
      </c>
      <c r="E5" t="inlineStr">
        <is>
          <t>time_and_materials</t>
        </is>
      </c>
      <c r="F5" t="inlineStr">
        <is>
          <t>active</t>
        </is>
      </c>
      <c r="G5" s="7" t="inlineStr">
        <is>
          <t>2026-02-19</t>
        </is>
      </c>
      <c r="H5" s="7" t="inlineStr">
        <is>
          <t>2027-02-27</t>
        </is>
      </c>
      <c r="I5" t="n">
        <v>180</v>
      </c>
      <c r="J5" s="2" t="n">
        <v>1480</v>
      </c>
      <c r="K5" s="2" t="n">
        <v>672.5</v>
      </c>
      <c r="L5" s="8">
        <f>IF(N(J5)&gt;0,K5/J5,"")</f>
        <v/>
      </c>
      <c r="M5" s="3" t="n">
        <v>393680</v>
      </c>
      <c r="N5" s="4" t="n">
        <v>45</v>
      </c>
      <c r="O5" t="n">
        <v>3</v>
      </c>
      <c r="P5" s="5" t="n">
        <v>100</v>
      </c>
      <c r="Q5" t="inlineStr">
        <is>
          <t>green</t>
        </is>
      </c>
      <c r="R5" s="5" t="n">
        <v>31.2</v>
      </c>
      <c r="T5" t="inlineStr">
        <is>
          <t>no</t>
        </is>
      </c>
      <c r="U5" s="2" t="n"/>
      <c r="V5" s="2" t="n"/>
      <c r="Y5" s="2" t="n"/>
      <c r="Z5" s="8">
        <f>IF(AND(N(J5)&gt;0,Y5&lt;&gt;""),MAX(0,Y5-J5)/J5,"")</f>
        <v/>
      </c>
      <c r="AC5" s="4" t="n"/>
      <c r="AD5" s="5" t="n"/>
      <c r="AE5" s="4" t="n"/>
      <c r="AF5" s="3" t="n"/>
      <c r="AG5" s="3" t="n"/>
      <c r="AH5" s="3" t="n"/>
      <c r="AI5" s="3" t="n"/>
      <c r="AJ5" s="3" t="n"/>
      <c r="AK5" s="8">
        <f>IF(AI5="","",IF(E5="fixed",IF(N(M5)&gt;0,(M5-AI5)/M5,""),IF(N(AJ5)&gt;0,(AJ5-AI5)/AJ5,"")))</f>
        <v/>
      </c>
      <c r="AL5" s="4" t="n"/>
      <c r="AM5" s="5" t="n"/>
      <c r="AN5" s="5" t="n"/>
      <c r="AO5" s="4" t="n"/>
    </row>
    <row r="6">
      <c r="A6" t="n">
        <v>8</v>
      </c>
      <c r="B6" t="inlineStr">
        <is>
          <t>Braemar Retail Corporation</t>
        </is>
      </c>
      <c r="C6" t="inlineStr">
        <is>
          <t>Regulatory Reporting Programme</t>
        </is>
      </c>
      <c r="D6" t="inlineStr">
        <is>
          <t>SOW-2025-008</t>
        </is>
      </c>
      <c r="E6" t="inlineStr">
        <is>
          <t>fixed</t>
        </is>
      </c>
      <c r="F6" t="inlineStr">
        <is>
          <t>active</t>
        </is>
      </c>
      <c r="G6" s="7" t="inlineStr">
        <is>
          <t>2025-11-16</t>
        </is>
      </c>
      <c r="H6" s="7" t="inlineStr">
        <is>
          <t>2027-05-12</t>
        </is>
      </c>
      <c r="I6" t="n">
        <v>254</v>
      </c>
      <c r="J6" s="2" t="n">
        <v>1020</v>
      </c>
      <c r="K6" s="2" t="n">
        <v>1336.4</v>
      </c>
      <c r="L6" s="8">
        <f>IF(N(J6)&gt;0,K6/J6,"")</f>
        <v/>
      </c>
      <c r="M6" s="3" t="n">
        <v>274176</v>
      </c>
      <c r="N6" s="4" t="n">
        <v>48.9</v>
      </c>
      <c r="O6" t="n">
        <v>4</v>
      </c>
      <c r="P6" s="5" t="n">
        <v>53.5</v>
      </c>
      <c r="Q6" t="inlineStr">
        <is>
          <t>amber</t>
        </is>
      </c>
      <c r="R6" s="5" t="n">
        <v>-3.8</v>
      </c>
      <c r="S6" t="inlineStr">
        <is>
          <t>burn_trajectory</t>
        </is>
      </c>
      <c r="T6" t="inlineStr">
        <is>
          <t>yes</t>
        </is>
      </c>
      <c r="U6" s="2" t="n">
        <v>-316.4</v>
      </c>
      <c r="V6" s="2" t="n">
        <v>32.15</v>
      </c>
      <c r="W6" t="n">
        <v>4</v>
      </c>
      <c r="X6" t="n">
        <v>0</v>
      </c>
      <c r="Y6" s="2" t="n">
        <v>2503</v>
      </c>
      <c r="Z6" s="8">
        <f>IF(AND(N(J6)&gt;0,Y6&lt;&gt;""),MAX(0,Y6-J6)/J6,"")</f>
        <v/>
      </c>
      <c r="AA6" t="inlineStr">
        <is>
          <t>high</t>
        </is>
      </c>
      <c r="AB6" t="inlineStr">
        <is>
          <t>4 readable weeks with time logged in every one, 2.1% of entries filed after the period closed</t>
        </is>
      </c>
      <c r="AC6" s="4" t="n">
        <v>-1.7</v>
      </c>
      <c r="AD6" s="5" t="n">
        <v>3</v>
      </c>
      <c r="AE6" s="4" t="n">
        <v>2.1</v>
      </c>
      <c r="AF6" s="3" t="n">
        <v>42180.92</v>
      </c>
      <c r="AG6" s="3" t="n">
        <v>42180.92</v>
      </c>
      <c r="AH6" s="3" t="n">
        <v>351264.68</v>
      </c>
      <c r="AI6" s="3" t="n">
        <v>206372.8</v>
      </c>
      <c r="AJ6" s="3" t="n">
        <v>393445.6</v>
      </c>
      <c r="AK6" s="8">
        <f>IF(AI6="","",IF(E6="fixed",IF(N(M6)&gt;0,(M6-AI6)/M6,""),IF(N(AJ6)&gt;0,(AJ6-AI6)/AJ6,"")))</f>
        <v/>
      </c>
      <c r="AL6" s="4" t="n">
        <v>90</v>
      </c>
      <c r="AM6" s="5" t="n">
        <v>24.3</v>
      </c>
      <c r="AN6" s="5" t="n">
        <v>25.3</v>
      </c>
      <c r="AO6" s="4" t="n">
        <v>-4</v>
      </c>
    </row>
    <row r="7">
      <c r="A7" t="n">
        <v>9</v>
      </c>
      <c r="B7" t="inlineStr">
        <is>
          <t>Northfield Municipal Group</t>
        </is>
      </c>
      <c r="C7" t="inlineStr">
        <is>
          <t>Pricing Modernisation</t>
        </is>
      </c>
      <c r="D7" t="inlineStr">
        <is>
          <t>SOW-2026-009</t>
        </is>
      </c>
      <c r="E7" t="inlineStr">
        <is>
          <t>fixed</t>
        </is>
      </c>
      <c r="F7" t="inlineStr">
        <is>
          <t>active</t>
        </is>
      </c>
      <c r="G7" s="7" t="inlineStr">
        <is>
          <t>2026-01-23</t>
        </is>
      </c>
      <c r="H7" s="7" t="inlineStr">
        <is>
          <t>2026-11-10</t>
        </is>
      </c>
      <c r="I7" t="n">
        <v>71</v>
      </c>
      <c r="J7" s="2" t="n">
        <v>780</v>
      </c>
      <c r="K7" s="2" t="n">
        <v>971.2</v>
      </c>
      <c r="L7" s="8">
        <f>IF(N(J7)&gt;0,K7/J7,"")</f>
        <v/>
      </c>
      <c r="M7" s="3" t="n">
        <v>241737.6</v>
      </c>
      <c r="N7" s="4" t="n">
        <v>54.1</v>
      </c>
      <c r="O7" t="n">
        <v>2</v>
      </c>
      <c r="P7" s="5" t="n">
        <v>59.5</v>
      </c>
      <c r="Q7" t="inlineStr">
        <is>
          <t>amber</t>
        </is>
      </c>
      <c r="R7" s="5" t="n">
        <v>-5.5</v>
      </c>
      <c r="S7" t="inlineStr">
        <is>
          <t>burn_trajectory</t>
        </is>
      </c>
      <c r="T7" t="inlineStr">
        <is>
          <t>yes</t>
        </is>
      </c>
      <c r="U7" s="2" t="n">
        <v>-191.2</v>
      </c>
      <c r="V7" s="2" t="n">
        <v>41.73</v>
      </c>
      <c r="W7" t="n">
        <v>4</v>
      </c>
      <c r="X7" t="n">
        <v>0</v>
      </c>
      <c r="Y7" s="2" t="n">
        <v>1394.4</v>
      </c>
      <c r="Z7" s="8">
        <f>IF(AND(N(J7)&gt;0,Y7&lt;&gt;""),MAX(0,Y7-J7)/J7,"")</f>
        <v/>
      </c>
      <c r="AA7" t="inlineStr">
        <is>
          <t>high</t>
        </is>
      </c>
      <c r="AB7" t="inlineStr">
        <is>
          <t>4 readable weeks with time logged in every one, 3.1% of entries filed after the period closed</t>
        </is>
      </c>
      <c r="AC7" s="4" t="n">
        <v>12.5</v>
      </c>
      <c r="AD7" s="5" t="n">
        <v>0</v>
      </c>
      <c r="AE7" s="4" t="n">
        <v>3.1</v>
      </c>
      <c r="AF7" s="3" t="n">
        <v>136634.29</v>
      </c>
      <c r="AG7" s="3" t="n">
        <v>136634.29</v>
      </c>
      <c r="AH7" s="3" t="n">
        <v>172915.71</v>
      </c>
      <c r="AI7" s="3" t="n">
        <v>160725.6</v>
      </c>
      <c r="AJ7" s="3" t="n">
        <v>309550</v>
      </c>
      <c r="AK7" s="8">
        <f>IF(AI7="","",IF(E7="fixed",IF(N(M7)&gt;0,(M7-AI7)/M7,""),IF(N(AJ7)&gt;0,(AJ7-AI7)/AJ7,"")))</f>
        <v/>
      </c>
      <c r="AL7" s="4" t="n">
        <v>87</v>
      </c>
      <c r="AM7" s="5" t="n">
        <v>32.8</v>
      </c>
      <c r="AN7" s="5" t="n">
        <v>31.3</v>
      </c>
      <c r="AO7" s="4" t="n">
        <v>4.5</v>
      </c>
    </row>
    <row r="8">
      <c r="A8" t="n">
        <v>11</v>
      </c>
      <c r="B8" t="inlineStr">
        <is>
          <t>Lowmarsh Retail Partners</t>
        </is>
      </c>
      <c r="C8" t="inlineStr">
        <is>
          <t>Inventory Modernisation</t>
        </is>
      </c>
      <c r="D8" t="inlineStr">
        <is>
          <t>SOW-2025-011</t>
        </is>
      </c>
      <c r="E8" t="inlineStr">
        <is>
          <t>fixed</t>
        </is>
      </c>
      <c r="F8" t="inlineStr">
        <is>
          <t>active</t>
        </is>
      </c>
      <c r="G8" s="7" t="inlineStr">
        <is>
          <t>2025-10-11</t>
        </is>
      </c>
      <c r="H8" s="7" t="inlineStr">
        <is>
          <t>2027-05-02</t>
        </is>
      </c>
      <c r="I8" t="n">
        <v>244</v>
      </c>
      <c r="J8" s="2" t="n">
        <v>4940</v>
      </c>
      <c r="K8" s="2" t="n">
        <v>2821</v>
      </c>
      <c r="L8" s="8">
        <f>IF(N(J8)&gt;0,K8/J8,"")</f>
        <v/>
      </c>
      <c r="M8" s="3" t="n">
        <v>1332713.2</v>
      </c>
      <c r="N8" s="4" t="n">
        <v>44.7</v>
      </c>
      <c r="O8" t="n">
        <v>3</v>
      </c>
      <c r="P8" s="5" t="n">
        <v>73.09999999999999</v>
      </c>
      <c r="Q8" t="inlineStr">
        <is>
          <t>green</t>
        </is>
      </c>
      <c r="R8" s="5" t="n">
        <v>-6.6</v>
      </c>
      <c r="S8" t="inlineStr">
        <is>
          <t>burn_trajectory</t>
        </is>
      </c>
      <c r="T8" t="inlineStr">
        <is>
          <t>no</t>
        </is>
      </c>
      <c r="U8" s="2" t="n"/>
      <c r="V8" s="2" t="n"/>
      <c r="Y8" s="2" t="n"/>
      <c r="Z8" s="8">
        <f>IF(AND(N(J8)&gt;0,Y8&lt;&gt;""),MAX(0,Y8-J8)/J8,"")</f>
        <v/>
      </c>
      <c r="AC8" s="4" t="n"/>
      <c r="AD8" s="5" t="n"/>
      <c r="AE8" s="4" t="n"/>
      <c r="AF8" s="3" t="n"/>
      <c r="AG8" s="3" t="n"/>
      <c r="AH8" s="3" t="n"/>
      <c r="AI8" s="3" t="n"/>
      <c r="AJ8" s="3" t="n"/>
      <c r="AK8" s="8">
        <f>IF(AI8="","",IF(E8="fixed",IF(N(M8)&gt;0,(M8-AI8)/M8,""),IF(N(AJ8)&gt;0,(AJ8-AI8)/AJ8,"")))</f>
        <v/>
      </c>
      <c r="AL8" s="4" t="n"/>
      <c r="AM8" s="5" t="n"/>
      <c r="AN8" s="5" t="n"/>
      <c r="AO8" s="4" t="n"/>
    </row>
    <row r="9">
      <c r="A9" t="n">
        <v>12</v>
      </c>
      <c r="B9" t="inlineStr">
        <is>
          <t>Stonebridge Energy Group</t>
        </is>
      </c>
      <c r="C9" t="inlineStr">
        <is>
          <t>Credit Risk Programme</t>
        </is>
      </c>
      <c r="D9" t="inlineStr">
        <is>
          <t>SOW-2026-012</t>
        </is>
      </c>
      <c r="E9" t="inlineStr">
        <is>
          <t>time_and_materials</t>
        </is>
      </c>
      <c r="F9" t="inlineStr">
        <is>
          <t>active</t>
        </is>
      </c>
      <c r="G9" s="7" t="inlineStr">
        <is>
          <t>2026-01-14</t>
        </is>
      </c>
      <c r="H9" s="7" t="inlineStr">
        <is>
          <t>2026-09-24</t>
        </is>
      </c>
      <c r="I9" t="n">
        <v>24</v>
      </c>
      <c r="J9" s="2" t="n">
        <v>1480</v>
      </c>
      <c r="K9" s="2" t="n">
        <v>998.4</v>
      </c>
      <c r="L9" s="8">
        <f>IF(N(J9)&gt;0,K9/J9,"")</f>
        <v/>
      </c>
      <c r="M9" s="3" t="n">
        <v>478040</v>
      </c>
      <c r="N9" s="4" t="n">
        <v>85.40000000000001</v>
      </c>
      <c r="O9" t="n">
        <v>2</v>
      </c>
      <c r="P9" s="5" t="n">
        <v>99.90000000000001</v>
      </c>
      <c r="Q9" t="inlineStr">
        <is>
          <t>green</t>
        </is>
      </c>
      <c r="R9" s="5" t="n">
        <v>0.4</v>
      </c>
      <c r="S9" t="inlineStr">
        <is>
          <t>payment_behaviour</t>
        </is>
      </c>
      <c r="T9" t="inlineStr">
        <is>
          <t>yes</t>
        </is>
      </c>
      <c r="U9" s="2" t="n">
        <v>481.6</v>
      </c>
      <c r="V9" s="2" t="n">
        <v>34.03</v>
      </c>
      <c r="W9" t="n">
        <v>4</v>
      </c>
      <c r="X9" t="n">
        <v>0</v>
      </c>
      <c r="Y9" s="2" t="n">
        <v>1115.1</v>
      </c>
      <c r="Z9" s="8">
        <f>IF(AND(N(J9)&gt;0,Y9&lt;&gt;""),MAX(0,Y9-J9)/J9,"")</f>
        <v/>
      </c>
      <c r="AA9" t="inlineStr">
        <is>
          <t>high</t>
        </is>
      </c>
      <c r="AB9" t="inlineStr">
        <is>
          <t>4 readable weeks with time logged in every one, 9.9% of entries filed after the period closed</t>
        </is>
      </c>
      <c r="AC9" s="4" t="n">
        <v>1.3</v>
      </c>
      <c r="AD9" s="5" t="n">
        <v>0</v>
      </c>
      <c r="AE9" s="4" t="n">
        <v>9.9</v>
      </c>
      <c r="AF9" s="3" t="n">
        <v>261087.5</v>
      </c>
      <c r="AG9" s="3" t="n">
        <v>207099.5</v>
      </c>
      <c r="AH9" s="3" t="n">
        <v>21938.5</v>
      </c>
      <c r="AI9" s="3" t="n">
        <v>138190.2</v>
      </c>
      <c r="AJ9" s="3" t="n">
        <v>283026</v>
      </c>
      <c r="AK9" s="8">
        <f>IF(AI9="","",IF(E9="fixed",IF(N(M9)&gt;0,(M9-AI9)/M9,""),IF(N(AJ9)&gt;0,(AJ9-AI9)/AJ9,"")))</f>
        <v/>
      </c>
      <c r="AL9" s="4" t="n">
        <v>88.7</v>
      </c>
      <c r="AM9" s="5" t="n">
        <v>39.8</v>
      </c>
      <c r="AN9" s="5" t="n">
        <v>39.7</v>
      </c>
      <c r="AO9" s="4" t="n">
        <v>0.4</v>
      </c>
    </row>
    <row r="10">
      <c r="A10" t="n">
        <v>13</v>
      </c>
      <c r="B10" t="inlineStr">
        <is>
          <t>Ashcombe Health Partners</t>
        </is>
      </c>
      <c r="C10" t="inlineStr">
        <is>
          <t>Payments Assessment</t>
        </is>
      </c>
      <c r="D10" t="inlineStr">
        <is>
          <t>SOW-2025-013</t>
        </is>
      </c>
      <c r="E10" t="inlineStr">
        <is>
          <t>time_and_materials</t>
        </is>
      </c>
      <c r="F10" t="inlineStr">
        <is>
          <t>active</t>
        </is>
      </c>
      <c r="G10" s="7" t="inlineStr">
        <is>
          <t>2025-09-28</t>
        </is>
      </c>
      <c r="H10" s="7" t="inlineStr">
        <is>
          <t>2026-12-08</t>
        </is>
      </c>
      <c r="I10" t="n">
        <v>99</v>
      </c>
      <c r="J10" s="2" t="n">
        <v>3200</v>
      </c>
      <c r="K10" s="2" t="n">
        <v>2097.5</v>
      </c>
      <c r="L10" s="8">
        <f>IF(N(J10)&gt;0,K10/J10,"")</f>
        <v/>
      </c>
      <c r="M10" s="3" t="n">
        <v>812800</v>
      </c>
      <c r="N10" s="4" t="n">
        <v>63.6</v>
      </c>
      <c r="O10" t="n">
        <v>3</v>
      </c>
      <c r="P10" s="5" t="n">
        <v>89.09999999999999</v>
      </c>
      <c r="Q10" t="inlineStr">
        <is>
          <t>green</t>
        </is>
      </c>
      <c r="R10" s="5" t="n">
        <v>-0.2</v>
      </c>
      <c r="S10" t="inlineStr">
        <is>
          <t>burn_trajectory</t>
        </is>
      </c>
      <c r="T10" t="inlineStr">
        <is>
          <t>no</t>
        </is>
      </c>
      <c r="U10" s="2" t="n"/>
      <c r="V10" s="2" t="n"/>
      <c r="Y10" s="2" t="n"/>
      <c r="Z10" s="8">
        <f>IF(AND(N(J10)&gt;0,Y10&lt;&gt;""),MAX(0,Y10-J10)/J10,"")</f>
        <v/>
      </c>
      <c r="AC10" s="4" t="n"/>
      <c r="AD10" s="5" t="n"/>
      <c r="AE10" s="4" t="n"/>
      <c r="AF10" s="3" t="n"/>
      <c r="AG10" s="3" t="n"/>
      <c r="AH10" s="3" t="n"/>
      <c r="AI10" s="3" t="n"/>
      <c r="AJ10" s="3" t="n"/>
      <c r="AK10" s="8">
        <f>IF(AI10="","",IF(E10="fixed",IF(N(M10)&gt;0,(M10-AI10)/M10,""),IF(N(AJ10)&gt;0,(AJ10-AI10)/AJ10,"")))</f>
        <v/>
      </c>
      <c r="AL10" s="4" t="n"/>
      <c r="AM10" s="5" t="n"/>
      <c r="AN10" s="5" t="n"/>
      <c r="AO10" s="4" t="n"/>
    </row>
    <row r="11">
      <c r="A11" t="n">
        <v>15</v>
      </c>
      <c r="B11" t="inlineStr">
        <is>
          <t>Ashcombe Health Partners</t>
        </is>
      </c>
      <c r="C11" t="inlineStr">
        <is>
          <t>Workforce Planning Programme</t>
        </is>
      </c>
      <c r="D11" t="inlineStr">
        <is>
          <t>SOW-2025-015</t>
        </is>
      </c>
      <c r="E11" t="inlineStr">
        <is>
          <t>time_and_materials</t>
        </is>
      </c>
      <c r="F11" t="inlineStr">
        <is>
          <t>active</t>
        </is>
      </c>
      <c r="G11" s="7" t="inlineStr">
        <is>
          <t>2025-11-04</t>
        </is>
      </c>
      <c r="H11" s="7" t="inlineStr">
        <is>
          <t>2026-10-16</t>
        </is>
      </c>
      <c r="I11" t="n">
        <v>46</v>
      </c>
      <c r="J11" s="2" t="n">
        <v>3540</v>
      </c>
      <c r="K11" s="2" t="n">
        <v>2694.5</v>
      </c>
      <c r="L11" s="8">
        <f>IF(N(J11)&gt;0,K11/J11,"")</f>
        <v/>
      </c>
      <c r="M11" s="3" t="n">
        <v>1069080</v>
      </c>
      <c r="N11" s="4" t="n">
        <v>50.2</v>
      </c>
      <c r="O11" t="n">
        <v>4</v>
      </c>
      <c r="P11" s="5" t="n">
        <v>94.40000000000001</v>
      </c>
      <c r="Q11" t="inlineStr">
        <is>
          <t>green</t>
        </is>
      </c>
      <c r="R11" s="5" t="n">
        <v>10.2</v>
      </c>
      <c r="S11" t="inlineStr">
        <is>
          <t>burn_trajectory</t>
        </is>
      </c>
      <c r="T11" t="inlineStr">
        <is>
          <t>yes</t>
        </is>
      </c>
      <c r="U11" s="2" t="n">
        <v>845.5</v>
      </c>
      <c r="V11" s="2" t="n">
        <v>71.18000000000001</v>
      </c>
      <c r="W11" t="n">
        <v>4</v>
      </c>
      <c r="X11" t="n">
        <v>0</v>
      </c>
      <c r="Y11" s="2" t="n">
        <v>3162.2</v>
      </c>
      <c r="Z11" s="8">
        <f>IF(AND(N(J11)&gt;0,Y11&lt;&gt;""),MAX(0,Y11-J11)/J11,"")</f>
        <v/>
      </c>
      <c r="AA11" t="inlineStr">
        <is>
          <t>high</t>
        </is>
      </c>
      <c r="AB11" t="inlineStr">
        <is>
          <t>4 readable weeks with time logged in every one, 6.5% of entries filed after the period closed</t>
        </is>
      </c>
      <c r="AC11" s="4" t="n">
        <v>-21.2</v>
      </c>
      <c r="AD11" s="5" t="n">
        <v>0</v>
      </c>
      <c r="AE11" s="4" t="n">
        <v>6.5</v>
      </c>
      <c r="AF11" s="3" t="n">
        <v>453254.3</v>
      </c>
      <c r="AG11" s="3" t="n">
        <v>372346</v>
      </c>
      <c r="AH11" s="3" t="n">
        <v>98811.10000000001</v>
      </c>
      <c r="AI11" s="3" t="n">
        <v>272353.4</v>
      </c>
      <c r="AJ11" s="3" t="n">
        <v>552065.4</v>
      </c>
      <c r="AK11" s="8">
        <f>IF(AI11="","",IF(E11="fixed",IF(N(M11)&gt;0,(M11-AI11)/M11,""),IF(N(AJ11)&gt;0,(AJ11-AI11)/AJ11,"")))</f>
        <v/>
      </c>
      <c r="AL11" s="4" t="n">
        <v>88.8</v>
      </c>
      <c r="AM11" s="5" t="n">
        <v>36.7</v>
      </c>
      <c r="AN11" s="5" t="n">
        <v>35.5</v>
      </c>
      <c r="AO11" s="4" t="n">
        <v>3.4</v>
      </c>
    </row>
    <row r="12">
      <c r="A12" t="n">
        <v>16</v>
      </c>
      <c r="B12" t="inlineStr">
        <is>
          <t>Braemar Retail Corporation</t>
        </is>
      </c>
      <c r="C12" t="inlineStr">
        <is>
          <t>Field Operations Rollout</t>
        </is>
      </c>
      <c r="D12" t="inlineStr">
        <is>
          <t>SOW-2025-016</t>
        </is>
      </c>
      <c r="E12" t="inlineStr">
        <is>
          <t>time_and_materials</t>
        </is>
      </c>
      <c r="F12" t="inlineStr">
        <is>
          <t>active</t>
        </is>
      </c>
      <c r="G12" s="7" t="inlineStr">
        <is>
          <t>2025-09-01</t>
        </is>
      </c>
      <c r="H12" s="7" t="inlineStr">
        <is>
          <t>2027-03-09</t>
        </is>
      </c>
      <c r="I12" t="n">
        <v>190</v>
      </c>
      <c r="J12" s="2" t="n">
        <v>7980</v>
      </c>
      <c r="K12" s="2" t="n">
        <v>2552.1</v>
      </c>
      <c r="L12" s="8">
        <f>IF(N(J12)&gt;0,K12/J12,"")</f>
        <v/>
      </c>
      <c r="M12" s="3" t="n">
        <v>1955100</v>
      </c>
      <c r="N12" s="4" t="n">
        <v>41.7</v>
      </c>
      <c r="O12" t="n">
        <v>3</v>
      </c>
      <c r="P12" s="5" t="n">
        <v>100</v>
      </c>
      <c r="Q12" t="inlineStr">
        <is>
          <t>green</t>
        </is>
      </c>
      <c r="R12" s="5" t="n">
        <v>0.2</v>
      </c>
      <c r="T12" t="inlineStr">
        <is>
          <t>no</t>
        </is>
      </c>
      <c r="U12" s="2" t="n"/>
      <c r="V12" s="2" t="n"/>
      <c r="Y12" s="2" t="n"/>
      <c r="Z12" s="8">
        <f>IF(AND(N(J12)&gt;0,Y12&lt;&gt;""),MAX(0,Y12-J12)/J12,"")</f>
        <v/>
      </c>
      <c r="AC12" s="4" t="n"/>
      <c r="AD12" s="5" t="n"/>
      <c r="AE12" s="4" t="n"/>
      <c r="AF12" s="3" t="n"/>
      <c r="AG12" s="3" t="n"/>
      <c r="AH12" s="3" t="n"/>
      <c r="AI12" s="3" t="n"/>
      <c r="AJ12" s="3" t="n"/>
      <c r="AK12" s="8">
        <f>IF(AI12="","",IF(E12="fixed",IF(N(M12)&gt;0,(M12-AI12)/M12,""),IF(N(AJ12)&gt;0,(AJ12-AI12)/AJ12,"")))</f>
        <v/>
      </c>
      <c r="AL12" s="4" t="n"/>
      <c r="AM12" s="5" t="n"/>
      <c r="AN12" s="5" t="n"/>
      <c r="AO12" s="4" t="n"/>
    </row>
    <row r="13">
      <c r="A13" t="n">
        <v>18</v>
      </c>
      <c r="B13" t="inlineStr">
        <is>
          <t>Thornbury Retail Partners</t>
        </is>
      </c>
      <c r="C13" t="inlineStr">
        <is>
          <t>Payments Modernisation</t>
        </is>
      </c>
      <c r="D13" t="inlineStr">
        <is>
          <t>SOW-2025-018</t>
        </is>
      </c>
      <c r="E13" t="inlineStr">
        <is>
          <t>fixed</t>
        </is>
      </c>
      <c r="F13" t="inlineStr">
        <is>
          <t>active</t>
        </is>
      </c>
      <c r="G13" s="7" t="inlineStr">
        <is>
          <t>2025-12-04</t>
        </is>
      </c>
      <c r="H13" s="7" t="inlineStr">
        <is>
          <t>2026-12-04</t>
        </is>
      </c>
      <c r="I13" t="n">
        <v>95</v>
      </c>
      <c r="J13" s="2" t="n">
        <v>820</v>
      </c>
      <c r="K13" s="2" t="n">
        <v>564.5</v>
      </c>
      <c r="L13" s="8">
        <f>IF(N(J13)&gt;0,K13/J13,"")</f>
        <v/>
      </c>
      <c r="M13" s="3" t="n">
        <v>217906.8</v>
      </c>
      <c r="N13" s="4" t="n">
        <v>53.2</v>
      </c>
      <c r="O13" t="n">
        <v>3</v>
      </c>
      <c r="P13" s="5" t="n">
        <v>94.09999999999999</v>
      </c>
      <c r="Q13" t="inlineStr">
        <is>
          <t>green</t>
        </is>
      </c>
      <c r="R13" s="5" t="n">
        <v>-5.7</v>
      </c>
      <c r="S13" t="inlineStr">
        <is>
          <t>burn_trajectory</t>
        </is>
      </c>
      <c r="T13" t="inlineStr">
        <is>
          <t>no</t>
        </is>
      </c>
      <c r="U13" s="2" t="n"/>
      <c r="V13" s="2" t="n"/>
      <c r="Y13" s="2" t="n"/>
      <c r="Z13" s="8">
        <f>IF(AND(N(J13)&gt;0,Y13&lt;&gt;""),MAX(0,Y13-J13)/J13,"")</f>
        <v/>
      </c>
      <c r="AC13" s="4" t="n"/>
      <c r="AD13" s="5" t="n"/>
      <c r="AE13" s="4" t="n"/>
      <c r="AF13" s="3" t="n"/>
      <c r="AG13" s="3" t="n"/>
      <c r="AH13" s="3" t="n"/>
      <c r="AI13" s="3" t="n"/>
      <c r="AJ13" s="3" t="n"/>
      <c r="AK13" s="8">
        <f>IF(AI13="","",IF(E13="fixed",IF(N(M13)&gt;0,(M13-AI13)/M13,""),IF(N(AJ13)&gt;0,(AJ13-AI13)/AJ13,"")))</f>
        <v/>
      </c>
      <c r="AL13" s="4" t="n"/>
      <c r="AM13" s="5" t="n"/>
      <c r="AN13" s="5" t="n"/>
      <c r="AO13" s="4" t="n"/>
    </row>
    <row r="14">
      <c r="A14" t="n">
        <v>19</v>
      </c>
      <c r="B14" t="inlineStr">
        <is>
          <t>Thornbury Retail Partners</t>
        </is>
      </c>
      <c r="C14" t="inlineStr">
        <is>
          <t>Grid Analytics Assessment</t>
        </is>
      </c>
      <c r="D14" t="inlineStr">
        <is>
          <t>SOW-2025-019</t>
        </is>
      </c>
      <c r="E14" t="inlineStr">
        <is>
          <t>time_and_materials</t>
        </is>
      </c>
      <c r="F14" t="inlineStr">
        <is>
          <t>active</t>
        </is>
      </c>
      <c r="G14" s="7" t="inlineStr">
        <is>
          <t>2025-12-03</t>
        </is>
      </c>
      <c r="H14" s="7" t="inlineStr">
        <is>
          <t>2026-10-10</t>
        </is>
      </c>
      <c r="I14" t="n">
        <v>40</v>
      </c>
      <c r="J14" s="2" t="n">
        <v>940</v>
      </c>
      <c r="K14" s="2" t="n">
        <v>816.8</v>
      </c>
      <c r="L14" s="8">
        <f>IF(N(J14)&gt;0,K14/J14,"")</f>
        <v/>
      </c>
      <c r="M14" s="3" t="n">
        <v>262260</v>
      </c>
      <c r="N14" s="4" t="n">
        <v>59.5</v>
      </c>
      <c r="O14" t="n">
        <v>2</v>
      </c>
      <c r="P14" s="5" t="n">
        <v>76.59999999999999</v>
      </c>
      <c r="Q14" t="inlineStr">
        <is>
          <t>green</t>
        </is>
      </c>
      <c r="R14" s="5" t="n">
        <v>-12.2</v>
      </c>
      <c r="S14" t="inlineStr">
        <is>
          <t>burn_trajectory</t>
        </is>
      </c>
      <c r="T14" t="inlineStr">
        <is>
          <t>yes</t>
        </is>
      </c>
      <c r="U14" s="2" t="n">
        <v>123.2</v>
      </c>
      <c r="V14" s="2" t="n">
        <v>29.88</v>
      </c>
      <c r="W14" t="n">
        <v>4</v>
      </c>
      <c r="X14" t="n">
        <v>0</v>
      </c>
      <c r="Y14" s="2" t="n">
        <v>987.5</v>
      </c>
      <c r="Z14" s="8">
        <f>IF(AND(N(J14)&gt;0,Y14&lt;&gt;""),MAX(0,Y14-J14)/J14,"")</f>
        <v/>
      </c>
      <c r="AA14" t="inlineStr">
        <is>
          <t>high</t>
        </is>
      </c>
      <c r="AB14" t="inlineStr">
        <is>
          <t>4 readable weeks with time logged in every one, 7.5% of entries filed after the period closed</t>
        </is>
      </c>
      <c r="AC14" s="4" t="n">
        <v>36.3</v>
      </c>
      <c r="AD14" s="5" t="n">
        <v>0</v>
      </c>
      <c r="AE14" s="4" t="n">
        <v>7.5</v>
      </c>
      <c r="AF14" s="3" t="n">
        <v>189126.6</v>
      </c>
      <c r="AG14" s="3" t="n">
        <v>189126.6</v>
      </c>
      <c r="AH14" s="3" t="n">
        <v>30225</v>
      </c>
      <c r="AI14" s="3" t="n">
        <v>106100</v>
      </c>
      <c r="AJ14" s="3" t="n">
        <v>219351.6</v>
      </c>
      <c r="AK14" s="8">
        <f>IF(AI14="","",IF(E14="fixed",IF(N(M14)&gt;0,(M14-AI14)/M14,""),IF(N(AJ14)&gt;0,(AJ14-AI14)/AJ14,"")))</f>
        <v/>
      </c>
      <c r="AL14" s="4" t="n">
        <v>86.40000000000001</v>
      </c>
      <c r="AM14" s="5" t="n">
        <v>29.7</v>
      </c>
      <c r="AN14" s="5" t="n">
        <v>30.8</v>
      </c>
      <c r="AO14" s="4" t="n">
        <v>-3.7</v>
      </c>
    </row>
    <row r="15">
      <c r="A15" t="n">
        <v>20</v>
      </c>
      <c r="B15" t="inlineStr">
        <is>
          <t>Quarrymoor Transit Partners</t>
        </is>
      </c>
      <c r="C15" t="inlineStr">
        <is>
          <t>Inventory Implementation</t>
        </is>
      </c>
      <c r="D15" t="inlineStr">
        <is>
          <t>SOW-2025-020</t>
        </is>
      </c>
      <c r="E15" t="inlineStr">
        <is>
          <t>fixed</t>
        </is>
      </c>
      <c r="F15" t="inlineStr">
        <is>
          <t>active</t>
        </is>
      </c>
      <c r="G15" s="7" t="inlineStr">
        <is>
          <t>2025-11-30</t>
        </is>
      </c>
      <c r="H15" s="7" t="inlineStr">
        <is>
          <t>2027-04-16</t>
        </is>
      </c>
      <c r="I15" t="n">
        <v>228</v>
      </c>
      <c r="J15" s="2" t="n">
        <v>4840</v>
      </c>
      <c r="K15" s="2" t="n">
        <v>2720.7</v>
      </c>
      <c r="L15" s="8">
        <f>IF(N(J15)&gt;0,K15/J15,"")</f>
        <v/>
      </c>
      <c r="M15" s="3" t="n">
        <v>1154243.2</v>
      </c>
      <c r="N15" s="4" t="n">
        <v>33</v>
      </c>
      <c r="O15" t="n">
        <v>6</v>
      </c>
      <c r="P15" s="5" t="n">
        <v>64</v>
      </c>
      <c r="Q15" t="inlineStr">
        <is>
          <t>amber</t>
        </is>
      </c>
      <c r="R15" s="5" t="n">
        <v>0.8</v>
      </c>
      <c r="S15" t="inlineStr">
        <is>
          <t>burn_trajectory</t>
        </is>
      </c>
      <c r="T15" t="inlineStr">
        <is>
          <t>yes</t>
        </is>
      </c>
      <c r="U15" s="2" t="n">
        <v>2119.3</v>
      </c>
      <c r="V15" s="2" t="n">
        <v>110.78</v>
      </c>
      <c r="W15" t="n">
        <v>4</v>
      </c>
      <c r="X15" t="n">
        <v>0</v>
      </c>
      <c r="Y15" s="2" t="n">
        <v>6328.8</v>
      </c>
      <c r="Z15" s="8">
        <f>IF(AND(N(J15)&gt;0,Y15&lt;&gt;""),MAX(0,Y15-J15)/J15,"")</f>
        <v/>
      </c>
      <c r="AA15" t="inlineStr">
        <is>
          <t>high</t>
        </is>
      </c>
      <c r="AB15" t="inlineStr">
        <is>
          <t>4 readable weeks with time logged in every one, 7.8% of entries filed after the period closed</t>
        </is>
      </c>
      <c r="AC15" s="4" t="n">
        <v>17.8</v>
      </c>
      <c r="AD15" s="5" t="n">
        <v>0</v>
      </c>
      <c r="AE15" s="4" t="n">
        <v>7.8</v>
      </c>
      <c r="AF15" s="3" t="n">
        <v>355151.75</v>
      </c>
      <c r="AG15" s="3" t="n">
        <v>355151.75</v>
      </c>
      <c r="AH15" s="3" t="n">
        <v>255780.05</v>
      </c>
      <c r="AI15" s="3" t="n">
        <v>288157</v>
      </c>
      <c r="AJ15" s="3" t="n">
        <v>610931.8</v>
      </c>
      <c r="AK15" s="8">
        <f>IF(AI15="","",IF(E15="fixed",IF(N(M15)&gt;0,(M15-AI15)/M15,""),IF(N(AJ15)&gt;0,(AJ15-AI15)/AJ15,"")))</f>
        <v/>
      </c>
      <c r="AL15" s="4" t="n">
        <v>89.09999999999999</v>
      </c>
      <c r="AM15" s="5" t="n">
        <v>55</v>
      </c>
      <c r="AN15" s="5" t="n">
        <v>51.7</v>
      </c>
      <c r="AO15" s="4" t="n">
        <v>6.5</v>
      </c>
    </row>
    <row r="16">
      <c r="A16" t="n">
        <v>22</v>
      </c>
      <c r="B16" t="inlineStr">
        <is>
          <t>Fernhollow Financial Trust</t>
        </is>
      </c>
      <c r="C16" t="inlineStr">
        <is>
          <t>Billing Platform Assessment</t>
        </is>
      </c>
      <c r="D16" t="inlineStr">
        <is>
          <t>SOW-2026-022</t>
        </is>
      </c>
      <c r="E16" t="inlineStr">
        <is>
          <t>time_and_materials</t>
        </is>
      </c>
      <c r="F16" t="inlineStr">
        <is>
          <t>active</t>
        </is>
      </c>
      <c r="G16" s="7" t="inlineStr">
        <is>
          <t>2026-02-19</t>
        </is>
      </c>
      <c r="H16" s="7" t="inlineStr">
        <is>
          <t>2027-01-25</t>
        </is>
      </c>
      <c r="I16" t="n">
        <v>147</v>
      </c>
      <c r="J16" s="2" t="n">
        <v>1520</v>
      </c>
      <c r="K16" s="2" t="n">
        <v>895.2</v>
      </c>
      <c r="L16" s="8">
        <f>IF(N(J16)&gt;0,K16/J16,"")</f>
        <v/>
      </c>
      <c r="M16" s="3" t="n">
        <v>443840</v>
      </c>
      <c r="N16" s="4" t="n">
        <v>33.1</v>
      </c>
      <c r="O16" t="n">
        <v>4</v>
      </c>
      <c r="P16" s="5" t="n">
        <v>68.90000000000001</v>
      </c>
      <c r="Q16" t="inlineStr">
        <is>
          <t>amber</t>
        </is>
      </c>
      <c r="R16" s="5" t="n">
        <v>-7.2</v>
      </c>
      <c r="S16" t="inlineStr">
        <is>
          <t>burn_trajectory</t>
        </is>
      </c>
      <c r="T16" t="inlineStr">
        <is>
          <t>yes</t>
        </is>
      </c>
      <c r="U16" s="2" t="n">
        <v>624.8</v>
      </c>
      <c r="V16" s="2" t="n">
        <v>37.78</v>
      </c>
      <c r="W16" t="n">
        <v>4</v>
      </c>
      <c r="X16" t="n">
        <v>0</v>
      </c>
      <c r="Y16" s="2" t="n">
        <v>1688.5</v>
      </c>
      <c r="Z16" s="8">
        <f>IF(AND(N(J16)&gt;0,Y16&lt;&gt;""),MAX(0,Y16-J16)/J16,"")</f>
        <v/>
      </c>
      <c r="AA16" t="inlineStr">
        <is>
          <t>high</t>
        </is>
      </c>
      <c r="AB16" t="inlineStr">
        <is>
          <t>4 readable weeks with time logged in every one, 3.4% of entries filed after the period closed</t>
        </is>
      </c>
      <c r="AC16" s="4" t="n">
        <v>3.3</v>
      </c>
      <c r="AD16" s="5" t="n">
        <v>0</v>
      </c>
      <c r="AE16" s="4" t="n">
        <v>3.4</v>
      </c>
      <c r="AF16" s="3" t="n">
        <v>197232.6</v>
      </c>
      <c r="AG16" s="3" t="n">
        <v>110441.3</v>
      </c>
      <c r="AH16" s="3" t="n">
        <v>31998.2</v>
      </c>
      <c r="AI16" s="3" t="n">
        <v>115100.6</v>
      </c>
      <c r="AJ16" s="3" t="n">
        <v>229230.8</v>
      </c>
      <c r="AK16" s="8">
        <f>IF(AI16="","",IF(E16="fixed",IF(N(M16)&gt;0,(M16-AI16)/M16,""),IF(N(AJ16)&gt;0,(AJ16-AI16)/AJ16,"")))</f>
        <v/>
      </c>
      <c r="AL16" s="4" t="n">
        <v>90.90000000000001</v>
      </c>
      <c r="AM16" s="5" t="n">
        <v>46.2</v>
      </c>
      <c r="AN16" s="5" t="n">
        <v>44.1</v>
      </c>
      <c r="AO16" s="4" t="n">
        <v>4.7</v>
      </c>
    </row>
    <row r="17">
      <c r="A17" t="n">
        <v>23</v>
      </c>
      <c r="B17" t="inlineStr">
        <is>
          <t>Fernhollow Financial Trust</t>
        </is>
      </c>
      <c r="C17" t="inlineStr">
        <is>
          <t>Asset Register Assessment</t>
        </is>
      </c>
      <c r="D17" t="inlineStr">
        <is>
          <t>SOW-2025-023</t>
        </is>
      </c>
      <c r="E17" t="inlineStr">
        <is>
          <t>fixed</t>
        </is>
      </c>
      <c r="F17" t="inlineStr">
        <is>
          <t>active</t>
        </is>
      </c>
      <c r="G17" s="7" t="inlineStr">
        <is>
          <t>2025-12-30</t>
        </is>
      </c>
      <c r="H17" s="7" t="inlineStr">
        <is>
          <t>2027-01-11</t>
        </is>
      </c>
      <c r="I17" t="n">
        <v>133</v>
      </c>
      <c r="J17" s="2" t="n">
        <v>1840</v>
      </c>
      <c r="K17" s="2" t="n">
        <v>695.4</v>
      </c>
      <c r="L17" s="8">
        <f>IF(N(J17)&gt;0,K17/J17,"")</f>
        <v/>
      </c>
      <c r="M17" s="3" t="n">
        <v>455731.2</v>
      </c>
      <c r="N17" s="4" t="n">
        <v>55.7</v>
      </c>
      <c r="O17" t="n">
        <v>2</v>
      </c>
      <c r="P17" s="5" t="n">
        <v>99.3</v>
      </c>
      <c r="Q17" t="inlineStr">
        <is>
          <t>green</t>
        </is>
      </c>
      <c r="R17" s="5" t="n">
        <v>-0.7</v>
      </c>
      <c r="S17" t="inlineStr">
        <is>
          <t>payment_behaviour</t>
        </is>
      </c>
      <c r="T17" t="inlineStr">
        <is>
          <t>no</t>
        </is>
      </c>
      <c r="U17" s="2" t="n"/>
      <c r="V17" s="2" t="n"/>
      <c r="Y17" s="2" t="n"/>
      <c r="Z17" s="8">
        <f>IF(AND(N(J17)&gt;0,Y17&lt;&gt;""),MAX(0,Y17-J17)/J17,"")</f>
        <v/>
      </c>
      <c r="AC17" s="4" t="n"/>
      <c r="AD17" s="5" t="n"/>
      <c r="AE17" s="4" t="n"/>
      <c r="AF17" s="3" t="n"/>
      <c r="AG17" s="3" t="n"/>
      <c r="AH17" s="3" t="n"/>
      <c r="AI17" s="3" t="n"/>
      <c r="AJ17" s="3" t="n"/>
      <c r="AK17" s="8">
        <f>IF(AI17="","",IF(E17="fixed",IF(N(M17)&gt;0,(M17-AI17)/M17,""),IF(N(AJ17)&gt;0,(AJ17-AI17)/AJ17,"")))</f>
        <v/>
      </c>
      <c r="AL17" s="4" t="n"/>
      <c r="AM17" s="5" t="n"/>
      <c r="AN17" s="5" t="n"/>
      <c r="AO17" s="4" t="n"/>
    </row>
    <row r="18">
      <c r="A18" t="n">
        <v>25</v>
      </c>
      <c r="B18" t="inlineStr">
        <is>
          <t>Stonebridge Energy Group</t>
        </is>
      </c>
      <c r="C18" t="inlineStr">
        <is>
          <t>Billing Platform Implementation</t>
        </is>
      </c>
      <c r="D18" t="inlineStr">
        <is>
          <t>SOW-2025-025</t>
        </is>
      </c>
      <c r="E18" t="inlineStr">
        <is>
          <t>time_and_materials</t>
        </is>
      </c>
      <c r="F18" t="inlineStr">
        <is>
          <t>active</t>
        </is>
      </c>
      <c r="G18" s="7" t="inlineStr">
        <is>
          <t>2025-11-11</t>
        </is>
      </c>
      <c r="H18" s="7" t="inlineStr">
        <is>
          <t>2026-10-25</t>
        </is>
      </c>
      <c r="I18" t="n">
        <v>55</v>
      </c>
      <c r="J18" s="2" t="n">
        <v>2440</v>
      </c>
      <c r="K18" s="2" t="n">
        <v>1967.8</v>
      </c>
      <c r="L18" s="8">
        <f>IF(N(J18)&gt;0,K18/J18,"")</f>
        <v/>
      </c>
      <c r="M18" s="3" t="n">
        <v>688080</v>
      </c>
      <c r="N18" s="4" t="n">
        <v>53.7</v>
      </c>
      <c r="O18" t="n">
        <v>3</v>
      </c>
      <c r="P18" s="5" t="n">
        <v>76.59999999999999</v>
      </c>
      <c r="Q18" t="inlineStr">
        <is>
          <t>green</t>
        </is>
      </c>
      <c r="R18" s="5" t="n">
        <v>-9.4</v>
      </c>
      <c r="S18" t="inlineStr">
        <is>
          <t>reporting_gap</t>
        </is>
      </c>
      <c r="T18" t="inlineStr">
        <is>
          <t>yes</t>
        </is>
      </c>
      <c r="U18" s="2" t="n">
        <v>472.2</v>
      </c>
      <c r="V18" s="2" t="n">
        <v>22.53</v>
      </c>
      <c r="W18" t="n">
        <v>4</v>
      </c>
      <c r="X18" t="n">
        <v>2</v>
      </c>
      <c r="Y18" s="2" t="n">
        <v>2144.8</v>
      </c>
      <c r="Z18" s="8">
        <f>IF(AND(N(J18)&gt;0,Y18&lt;&gt;""),MAX(0,Y18-J18)/J18,"")</f>
        <v/>
      </c>
      <c r="AA18" t="inlineStr">
        <is>
          <t>low</t>
        </is>
      </c>
      <c r="AB18" t="inlineStr">
        <is>
          <t>2 of the trailing 4 readable weeks have no time logged against this engagement</t>
        </is>
      </c>
      <c r="AC18" s="4" t="n">
        <v>-46.6</v>
      </c>
      <c r="AD18" s="5" t="n">
        <v>24</v>
      </c>
      <c r="AE18" s="4" t="n">
        <v>0</v>
      </c>
      <c r="AF18" s="3" t="n">
        <v>441859</v>
      </c>
      <c r="AG18" s="3" t="n">
        <v>403089</v>
      </c>
      <c r="AH18" s="3" t="n">
        <v>8091.5</v>
      </c>
      <c r="AI18" s="3" t="n">
        <v>224191.7</v>
      </c>
      <c r="AJ18" s="3" t="n">
        <v>449950.5</v>
      </c>
      <c r="AK18" s="8">
        <f>IF(AI18="","",IF(E18="fixed",IF(N(M18)&gt;0,(M18-AI18)/M18,""),IF(N(AJ18)&gt;0,(AJ18-AI18)/AJ18,"")))</f>
        <v/>
      </c>
      <c r="AL18" s="4" t="n">
        <v>87.40000000000001</v>
      </c>
      <c r="AM18" s="5" t="n">
        <v>39.8</v>
      </c>
      <c r="AN18" s="5" t="n">
        <v>39.7</v>
      </c>
      <c r="AO18" s="4" t="n">
        <v>0.4</v>
      </c>
    </row>
    <row r="19">
      <c r="A19" t="n">
        <v>29</v>
      </c>
      <c r="B19" t="inlineStr">
        <is>
          <t>Merrivale Maritime Corporation</t>
        </is>
      </c>
      <c r="C19" t="inlineStr">
        <is>
          <t>Grid Analytics Integration</t>
        </is>
      </c>
      <c r="D19" t="inlineStr">
        <is>
          <t>SOW-2026-029</t>
        </is>
      </c>
      <c r="E19" t="inlineStr">
        <is>
          <t>fixed</t>
        </is>
      </c>
      <c r="F19" t="inlineStr">
        <is>
          <t>active</t>
        </is>
      </c>
      <c r="G19" s="7" t="inlineStr">
        <is>
          <t>2026-01-26</t>
        </is>
      </c>
      <c r="H19" s="7" t="inlineStr">
        <is>
          <t>2026-12-26</t>
        </is>
      </c>
      <c r="I19" t="n">
        <v>117</v>
      </c>
      <c r="J19" s="2" t="n">
        <v>1960</v>
      </c>
      <c r="K19" s="2" t="n">
        <v>1108.6</v>
      </c>
      <c r="L19" s="8">
        <f>IF(N(J19)&gt;0,K19/J19,"")</f>
        <v/>
      </c>
      <c r="M19" s="3" t="n">
        <v>482904.8</v>
      </c>
      <c r="N19" s="4" t="n">
        <v>37.1</v>
      </c>
      <c r="O19" t="n">
        <v>5</v>
      </c>
      <c r="P19" s="5" t="n">
        <v>85.59999999999999</v>
      </c>
      <c r="Q19" t="inlineStr">
        <is>
          <t>green</t>
        </is>
      </c>
      <c r="R19" s="5" t="n">
        <v>-1.3</v>
      </c>
      <c r="S19" t="inlineStr">
        <is>
          <t>burn_trajectory</t>
        </is>
      </c>
      <c r="T19" t="inlineStr">
        <is>
          <t>no</t>
        </is>
      </c>
      <c r="U19" s="2" t="n"/>
      <c r="V19" s="2" t="n"/>
      <c r="Y19" s="2" t="n"/>
      <c r="Z19" s="8">
        <f>IF(AND(N(J19)&gt;0,Y19&lt;&gt;""),MAX(0,Y19-J19)/J19,"")</f>
        <v/>
      </c>
      <c r="AC19" s="4" t="n"/>
      <c r="AD19" s="5" t="n"/>
      <c r="AE19" s="4" t="n"/>
      <c r="AF19" s="3" t="n"/>
      <c r="AG19" s="3" t="n"/>
      <c r="AH19" s="3" t="n"/>
      <c r="AI19" s="3" t="n"/>
      <c r="AJ19" s="3" t="n"/>
      <c r="AK19" s="8">
        <f>IF(AI19="","",IF(E19="fixed",IF(N(M19)&gt;0,(M19-AI19)/M19,""),IF(N(AJ19)&gt;0,(AJ19-AI19)/AJ19,"")))</f>
        <v/>
      </c>
      <c r="AL19" s="4" t="n"/>
      <c r="AM19" s="5" t="n"/>
      <c r="AN19" s="5" t="n"/>
      <c r="AO19" s="4" t="n"/>
    </row>
  </sheetData>
  <conditionalFormatting sqref="L2:L19">
    <cfRule type="cellIs" priority="1" operator="greaterThan" dxfId="0">
      <formula>0.9</formula>
    </cfRule>
    <cfRule type="cellIs" priority="2" operator="greaterThan" dxfId="1">
      <formula>0.7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1" customWidth="1" min="4" max="4"/>
    <col width="17" customWidth="1" min="5" max="5"/>
    <col width="11" customWidth="1" min="6" max="6"/>
    <col width="17" customWidth="1" min="7" max="7"/>
    <col width="14" customWidth="1" min="8" max="8"/>
    <col width="23" customWidth="1" min="9" max="9"/>
    <col width="16" customWidth="1" min="10" max="10"/>
  </cols>
  <sheetData>
    <row r="1">
      <c r="A1" s="6" t="inlineStr">
        <is>
          <t>engagement_id</t>
        </is>
      </c>
      <c r="B1" s="6" t="inlineStr">
        <is>
          <t>engagement_name</t>
        </is>
      </c>
      <c r="C1" s="6" t="inlineStr">
        <is>
          <t>week_start</t>
        </is>
      </c>
      <c r="D1" s="6" t="inlineStr">
        <is>
          <t>hours</t>
        </is>
      </c>
      <c r="E1" s="6" t="inlineStr">
        <is>
          <t>billable_hours</t>
        </is>
      </c>
      <c r="F1" s="6" t="inlineStr">
        <is>
          <t>cost</t>
        </is>
      </c>
      <c r="G1" s="6" t="inlineStr">
        <is>
          <t>billable_value</t>
        </is>
      </c>
      <c r="H1" s="6" t="inlineStr">
        <is>
          <t>entry_count</t>
        </is>
      </c>
      <c r="I1" s="6" t="inlineStr">
        <is>
          <t>pct_active_reporting</t>
        </is>
      </c>
      <c r="J1" s="6" t="inlineStr">
        <is>
          <t>firm_wide_gap</t>
        </is>
      </c>
    </row>
    <row r="2">
      <c r="A2" t="n">
        <v>2</v>
      </c>
      <c r="B2" t="inlineStr">
        <is>
          <t>Credit Risk Migration</t>
        </is>
      </c>
      <c r="C2" s="7" t="inlineStr">
        <is>
          <t>2026-08-03</t>
        </is>
      </c>
      <c r="D2" s="2" t="n">
        <v>10</v>
      </c>
      <c r="E2" s="2" t="n">
        <v>7.8</v>
      </c>
      <c r="F2" s="3" t="n">
        <v>1157.1</v>
      </c>
      <c r="G2" s="3" t="n">
        <v>1974.2</v>
      </c>
      <c r="H2" t="n">
        <v>11</v>
      </c>
      <c r="I2" s="4" t="n">
        <v>100</v>
      </c>
      <c r="J2" t="b">
        <v>0</v>
      </c>
    </row>
    <row r="3">
      <c r="A3" t="n">
        <v>2</v>
      </c>
      <c r="B3" t="inlineStr">
        <is>
          <t>Credit Risk Migration</t>
        </is>
      </c>
      <c r="C3" s="7" t="inlineStr">
        <is>
          <t>2026-08-17</t>
        </is>
      </c>
      <c r="D3" s="2" t="n">
        <v>23.9</v>
      </c>
      <c r="E3" s="2" t="n">
        <v>21.6</v>
      </c>
      <c r="F3" s="3" t="n">
        <v>2865.5</v>
      </c>
      <c r="G3" s="3" t="n">
        <v>5359.6</v>
      </c>
      <c r="H3" t="n">
        <v>22</v>
      </c>
      <c r="I3" s="4" t="n">
        <v>94.40000000000001</v>
      </c>
      <c r="J3" t="b">
        <v>0</v>
      </c>
    </row>
    <row r="4">
      <c r="A4" t="n">
        <v>3</v>
      </c>
      <c r="B4" t="inlineStr">
        <is>
          <t>Revenue Assurance Optimisation</t>
        </is>
      </c>
      <c r="C4" s="7" t="inlineStr">
        <is>
          <t>2026-08-03</t>
        </is>
      </c>
      <c r="D4" s="2" t="n">
        <v>19.8</v>
      </c>
      <c r="E4" s="2" t="n">
        <v>19.5</v>
      </c>
      <c r="F4" s="3" t="n">
        <v>3060.9</v>
      </c>
      <c r="G4" s="3" t="n">
        <v>6409.1</v>
      </c>
      <c r="H4" t="n">
        <v>17</v>
      </c>
      <c r="I4" s="4" t="n">
        <v>100</v>
      </c>
      <c r="J4" t="b">
        <v>0</v>
      </c>
    </row>
    <row r="5">
      <c r="A5" t="n">
        <v>3</v>
      </c>
      <c r="B5" t="inlineStr">
        <is>
          <t>Revenue Assurance Optimisation</t>
        </is>
      </c>
      <c r="C5" s="7" t="inlineStr">
        <is>
          <t>2026-08-17</t>
        </is>
      </c>
      <c r="D5" s="2" t="n">
        <v>15.4</v>
      </c>
      <c r="E5" s="2" t="n">
        <v>15.4</v>
      </c>
      <c r="F5" s="3" t="n">
        <v>2522.2</v>
      </c>
      <c r="G5" s="3" t="n">
        <v>5498.4</v>
      </c>
      <c r="H5" t="n">
        <v>11</v>
      </c>
      <c r="I5" s="4" t="n">
        <v>94.40000000000001</v>
      </c>
      <c r="J5" t="b">
        <v>0</v>
      </c>
    </row>
    <row r="6">
      <c r="A6" t="n">
        <v>3</v>
      </c>
      <c r="B6" t="inlineStr">
        <is>
          <t>Revenue Assurance Optimisation</t>
        </is>
      </c>
      <c r="C6" s="7" t="inlineStr">
        <is>
          <t>2026-08-24</t>
        </is>
      </c>
      <c r="D6" s="2" t="n">
        <v>25.7</v>
      </c>
      <c r="E6" s="2" t="n">
        <v>23</v>
      </c>
      <c r="F6" s="3" t="n">
        <v>3395.1</v>
      </c>
      <c r="G6" s="3" t="n">
        <v>6896.5</v>
      </c>
      <c r="H6" t="n">
        <v>24</v>
      </c>
      <c r="I6" s="4" t="n">
        <v>94.09999999999999</v>
      </c>
      <c r="J6" t="b">
        <v>0</v>
      </c>
    </row>
    <row r="7">
      <c r="A7" t="n">
        <v>3</v>
      </c>
      <c r="B7" t="inlineStr">
        <is>
          <t>Revenue Assurance Optimisation</t>
        </is>
      </c>
      <c r="C7" s="7" t="inlineStr">
        <is>
          <t>2026-08-31</t>
        </is>
      </c>
      <c r="D7" s="2" t="n">
        <v>7</v>
      </c>
      <c r="E7" s="2" t="n">
        <v>6.6</v>
      </c>
      <c r="F7" s="3" t="n">
        <v>1097</v>
      </c>
      <c r="G7" s="3" t="n">
        <v>2276.3</v>
      </c>
      <c r="H7" t="n">
        <v>7</v>
      </c>
      <c r="I7" s="4" t="n">
        <v>76.5</v>
      </c>
      <c r="J7" t="b">
        <v>0</v>
      </c>
    </row>
    <row r="8">
      <c r="A8" t="n">
        <v>5</v>
      </c>
      <c r="B8" t="inlineStr">
        <is>
          <t>Procurement Modernisation</t>
        </is>
      </c>
      <c r="C8" s="7" t="inlineStr">
        <is>
          <t>2026-08-03</t>
        </is>
      </c>
      <c r="D8" s="2" t="n">
        <v>40.8</v>
      </c>
      <c r="E8" s="2" t="n">
        <v>35.1</v>
      </c>
      <c r="F8" s="3" t="n">
        <v>4130.5</v>
      </c>
      <c r="G8" s="3" t="n">
        <v>7844</v>
      </c>
      <c r="H8" t="n">
        <v>37</v>
      </c>
      <c r="I8" s="4" t="n">
        <v>100</v>
      </c>
      <c r="J8" t="b">
        <v>0</v>
      </c>
    </row>
    <row r="9">
      <c r="A9" t="n">
        <v>5</v>
      </c>
      <c r="B9" t="inlineStr">
        <is>
          <t>Procurement Modernisation</t>
        </is>
      </c>
      <c r="C9" s="7" t="inlineStr">
        <is>
          <t>2026-08-10</t>
        </is>
      </c>
      <c r="D9" s="2" t="n">
        <v>214.7</v>
      </c>
      <c r="E9" s="2" t="n">
        <v>187.1</v>
      </c>
      <c r="F9" s="3" t="n">
        <v>22176.3</v>
      </c>
      <c r="G9" s="3" t="n">
        <v>45110.1</v>
      </c>
      <c r="H9" t="n">
        <v>186</v>
      </c>
      <c r="I9" s="4" t="n">
        <v>16.7</v>
      </c>
      <c r="J9" t="b">
        <v>1</v>
      </c>
    </row>
    <row r="10">
      <c r="A10" t="n">
        <v>5</v>
      </c>
      <c r="B10" t="inlineStr">
        <is>
          <t>Procurement Modernisation</t>
        </is>
      </c>
      <c r="C10" s="7" t="inlineStr">
        <is>
          <t>2026-08-17</t>
        </is>
      </c>
      <c r="D10" s="2" t="n">
        <v>65</v>
      </c>
      <c r="E10" s="2" t="n">
        <v>47.6</v>
      </c>
      <c r="F10" s="3" t="n">
        <v>6377.2</v>
      </c>
      <c r="G10" s="3" t="n">
        <v>10605.3</v>
      </c>
      <c r="H10" t="n">
        <v>51</v>
      </c>
      <c r="I10" s="4" t="n">
        <v>94.40000000000001</v>
      </c>
      <c r="J10" t="b">
        <v>0</v>
      </c>
    </row>
    <row r="11">
      <c r="A11" t="n">
        <v>5</v>
      </c>
      <c r="B11" t="inlineStr">
        <is>
          <t>Procurement Modernisation</t>
        </is>
      </c>
      <c r="C11" s="7" t="inlineStr">
        <is>
          <t>2026-08-24</t>
        </is>
      </c>
      <c r="D11" s="2" t="n">
        <v>95.90000000000001</v>
      </c>
      <c r="E11" s="2" t="n">
        <v>91</v>
      </c>
      <c r="F11" s="3" t="n">
        <v>9038.200000000001</v>
      </c>
      <c r="G11" s="3" t="n">
        <v>20318</v>
      </c>
      <c r="H11" t="n">
        <v>86</v>
      </c>
      <c r="I11" s="4" t="n">
        <v>94.09999999999999</v>
      </c>
      <c r="J11" t="b">
        <v>0</v>
      </c>
    </row>
    <row r="12">
      <c r="A12" t="n">
        <v>5</v>
      </c>
      <c r="B12" t="inlineStr">
        <is>
          <t>Procurement Modernisation</t>
        </is>
      </c>
      <c r="C12" s="7" t="inlineStr">
        <is>
          <t>2026-08-31</t>
        </is>
      </c>
      <c r="D12" s="2" t="n">
        <v>19.1</v>
      </c>
      <c r="E12" s="2" t="n">
        <v>14.4</v>
      </c>
      <c r="F12" s="3" t="n">
        <v>1878.2</v>
      </c>
      <c r="G12" s="3" t="n">
        <v>3463</v>
      </c>
      <c r="H12" t="n">
        <v>17</v>
      </c>
      <c r="I12" s="4" t="n">
        <v>76.5</v>
      </c>
      <c r="J12" t="b">
        <v>0</v>
      </c>
    </row>
    <row r="13">
      <c r="A13" t="n">
        <v>7</v>
      </c>
      <c r="B13" t="inlineStr">
        <is>
          <t>Revenue Assurance Discovery</t>
        </is>
      </c>
      <c r="C13" s="7" t="inlineStr">
        <is>
          <t>2026-08-03</t>
        </is>
      </c>
      <c r="D13" s="2" t="n">
        <v>8.800000000000001</v>
      </c>
      <c r="E13" s="2" t="n">
        <v>8.800000000000001</v>
      </c>
      <c r="F13" s="3" t="n">
        <v>1612.6</v>
      </c>
      <c r="G13" s="3" t="n">
        <v>3230.7</v>
      </c>
      <c r="H13" t="n">
        <v>10</v>
      </c>
      <c r="I13" s="4" t="n">
        <v>100</v>
      </c>
      <c r="J13" t="b">
        <v>0</v>
      </c>
    </row>
    <row r="14">
      <c r="A14" t="n">
        <v>7</v>
      </c>
      <c r="B14" t="inlineStr">
        <is>
          <t>Revenue Assurance Discovery</t>
        </is>
      </c>
      <c r="C14" s="7" t="inlineStr">
        <is>
          <t>2026-08-17</t>
        </is>
      </c>
      <c r="D14" s="2" t="n">
        <v>24.5</v>
      </c>
      <c r="E14" s="2" t="n">
        <v>21.8</v>
      </c>
      <c r="F14" s="3" t="n">
        <v>3588.2</v>
      </c>
      <c r="G14" s="3" t="n">
        <v>6875.4</v>
      </c>
      <c r="H14" t="n">
        <v>22</v>
      </c>
      <c r="I14" s="4" t="n">
        <v>94.40000000000001</v>
      </c>
      <c r="J14" t="b">
        <v>0</v>
      </c>
    </row>
    <row r="15">
      <c r="A15" t="n">
        <v>7</v>
      </c>
      <c r="B15" t="inlineStr">
        <is>
          <t>Revenue Assurance Discovery</t>
        </is>
      </c>
      <c r="C15" s="7" t="inlineStr">
        <is>
          <t>2026-08-24</t>
        </is>
      </c>
      <c r="D15" s="2" t="n">
        <v>35.5</v>
      </c>
      <c r="E15" s="2" t="n">
        <v>31.4</v>
      </c>
      <c r="F15" s="3" t="n">
        <v>5005</v>
      </c>
      <c r="G15" s="3" t="n">
        <v>9676.6</v>
      </c>
      <c r="H15" t="n">
        <v>27</v>
      </c>
      <c r="I15" s="4" t="n">
        <v>94.09999999999999</v>
      </c>
      <c r="J15" t="b">
        <v>0</v>
      </c>
    </row>
    <row r="16">
      <c r="A16" t="n">
        <v>7</v>
      </c>
      <c r="B16" t="inlineStr">
        <is>
          <t>Revenue Assurance Discovery</t>
        </is>
      </c>
      <c r="C16" s="7" t="inlineStr">
        <is>
          <t>2026-08-31</t>
        </is>
      </c>
      <c r="D16" s="2" t="n">
        <v>6.7</v>
      </c>
      <c r="E16" s="2" t="n">
        <v>4</v>
      </c>
      <c r="F16" s="3" t="n">
        <v>442.2</v>
      </c>
      <c r="G16" s="3" t="n">
        <v>564</v>
      </c>
      <c r="H16" t="n">
        <v>4</v>
      </c>
      <c r="I16" s="4" t="n">
        <v>76.5</v>
      </c>
      <c r="J16" t="b">
        <v>0</v>
      </c>
    </row>
    <row r="17">
      <c r="A17" t="n">
        <v>8</v>
      </c>
      <c r="B17" t="inlineStr">
        <is>
          <t>Regulatory Reporting Programme</t>
        </is>
      </c>
      <c r="C17" s="7" t="inlineStr">
        <is>
          <t>2026-08-03</t>
        </is>
      </c>
      <c r="D17" s="2" t="n">
        <v>19</v>
      </c>
      <c r="E17" s="2" t="n">
        <v>18.4</v>
      </c>
      <c r="F17" s="3" t="n">
        <v>1591.3</v>
      </c>
      <c r="G17" s="3" t="n">
        <v>3403.9</v>
      </c>
      <c r="H17" t="n">
        <v>23</v>
      </c>
      <c r="I17" s="4" t="n">
        <v>100</v>
      </c>
      <c r="J17" t="b">
        <v>0</v>
      </c>
    </row>
    <row r="18">
      <c r="A18" t="n">
        <v>8</v>
      </c>
      <c r="B18" t="inlineStr">
        <is>
          <t>Regulatory Reporting Programme</t>
        </is>
      </c>
      <c r="C18" s="7" t="inlineStr">
        <is>
          <t>2026-08-17</t>
        </is>
      </c>
      <c r="D18" s="2" t="n">
        <v>51.7</v>
      </c>
      <c r="E18" s="2" t="n">
        <v>43.2</v>
      </c>
      <c r="F18" s="3" t="n">
        <v>8426.5</v>
      </c>
      <c r="G18" s="3" t="n">
        <v>14753.9</v>
      </c>
      <c r="H18" t="n">
        <v>49</v>
      </c>
      <c r="I18" s="4" t="n">
        <v>94.40000000000001</v>
      </c>
      <c r="J18" t="b">
        <v>0</v>
      </c>
    </row>
    <row r="19">
      <c r="A19" t="n">
        <v>8</v>
      </c>
      <c r="B19" t="inlineStr">
        <is>
          <t>Regulatory Reporting Programme</t>
        </is>
      </c>
      <c r="C19" s="7" t="inlineStr">
        <is>
          <t>2026-08-24</t>
        </is>
      </c>
      <c r="D19" s="2" t="n">
        <v>25.8</v>
      </c>
      <c r="E19" s="2" t="n">
        <v>25.8</v>
      </c>
      <c r="F19" s="3" t="n">
        <v>4543.6</v>
      </c>
      <c r="G19" s="3" t="n">
        <v>9490.6</v>
      </c>
      <c r="H19" t="n">
        <v>22</v>
      </c>
      <c r="I19" s="4" t="n">
        <v>94.09999999999999</v>
      </c>
      <c r="J19" t="b">
        <v>0</v>
      </c>
    </row>
    <row r="20">
      <c r="A20" t="n">
        <v>9</v>
      </c>
      <c r="B20" t="inlineStr">
        <is>
          <t>Pricing Modernisation</t>
        </is>
      </c>
      <c r="C20" s="7" t="inlineStr">
        <is>
          <t>2026-08-03</t>
        </is>
      </c>
      <c r="D20" s="2" t="n">
        <v>43.7</v>
      </c>
      <c r="E20" s="2" t="n">
        <v>36</v>
      </c>
      <c r="F20" s="3" t="n">
        <v>7559</v>
      </c>
      <c r="G20" s="3" t="n">
        <v>13790.8</v>
      </c>
      <c r="H20" t="n">
        <v>35</v>
      </c>
      <c r="I20" s="4" t="n">
        <v>100</v>
      </c>
      <c r="J20" t="b">
        <v>0</v>
      </c>
    </row>
    <row r="21">
      <c r="A21" t="n">
        <v>9</v>
      </c>
      <c r="B21" t="inlineStr">
        <is>
          <t>Pricing Modernisation</t>
        </is>
      </c>
      <c r="C21" s="7" t="inlineStr">
        <is>
          <t>2026-08-17</t>
        </is>
      </c>
      <c r="D21" s="2" t="n">
        <v>22.4</v>
      </c>
      <c r="E21" s="2" t="n">
        <v>17.9</v>
      </c>
      <c r="F21" s="3" t="n">
        <v>3943.2</v>
      </c>
      <c r="G21" s="3" t="n">
        <v>7081.6</v>
      </c>
      <c r="H21" t="n">
        <v>19</v>
      </c>
      <c r="I21" s="4" t="n">
        <v>94.40000000000001</v>
      </c>
      <c r="J21" t="b">
        <v>0</v>
      </c>
    </row>
    <row r="22">
      <c r="A22" t="n">
        <v>9</v>
      </c>
      <c r="B22" t="inlineStr">
        <is>
          <t>Pricing Modernisation</t>
        </is>
      </c>
      <c r="C22" s="7" t="inlineStr">
        <is>
          <t>2026-08-24</t>
        </is>
      </c>
      <c r="D22" s="2" t="n">
        <v>46.9</v>
      </c>
      <c r="E22" s="2" t="n">
        <v>38.7</v>
      </c>
      <c r="F22" s="3" t="n">
        <v>7416.6</v>
      </c>
      <c r="G22" s="3" t="n">
        <v>13622.4</v>
      </c>
      <c r="H22" t="n">
        <v>40</v>
      </c>
      <c r="I22" s="4" t="n">
        <v>94.09999999999999</v>
      </c>
      <c r="J22" t="b">
        <v>0</v>
      </c>
    </row>
    <row r="23">
      <c r="A23" t="n">
        <v>9</v>
      </c>
      <c r="B23" t="inlineStr">
        <is>
          <t>Pricing Modernisation</t>
        </is>
      </c>
      <c r="C23" s="7" t="inlineStr">
        <is>
          <t>2026-08-31</t>
        </is>
      </c>
      <c r="D23" s="2" t="n">
        <v>3.9</v>
      </c>
      <c r="E23" s="2" t="n">
        <v>2.2</v>
      </c>
      <c r="F23" s="3" t="n">
        <v>460.2</v>
      </c>
      <c r="G23" s="3" t="n">
        <v>633.6</v>
      </c>
      <c r="H23" t="n">
        <v>3</v>
      </c>
      <c r="I23" s="4" t="n">
        <v>76.5</v>
      </c>
      <c r="J23" t="b">
        <v>0</v>
      </c>
    </row>
    <row r="24">
      <c r="A24" t="n">
        <v>11</v>
      </c>
      <c r="B24" t="inlineStr">
        <is>
          <t>Inventory Modernisation</t>
        </is>
      </c>
      <c r="C24" s="7" t="inlineStr">
        <is>
          <t>2026-08-03</t>
        </is>
      </c>
      <c r="D24" s="2" t="n">
        <v>56.9</v>
      </c>
      <c r="E24" s="2" t="n">
        <v>48.1</v>
      </c>
      <c r="F24" s="3" t="n">
        <v>5968.5</v>
      </c>
      <c r="G24" s="3" t="n">
        <v>12270.6</v>
      </c>
      <c r="H24" t="n">
        <v>52</v>
      </c>
      <c r="I24" s="4" t="n">
        <v>100</v>
      </c>
      <c r="J24" t="b">
        <v>0</v>
      </c>
    </row>
    <row r="25">
      <c r="A25" t="n">
        <v>11</v>
      </c>
      <c r="B25" t="inlineStr">
        <is>
          <t>Inventory Modernisation</t>
        </is>
      </c>
      <c r="C25" s="7" t="inlineStr">
        <is>
          <t>2026-08-10</t>
        </is>
      </c>
      <c r="D25" s="2" t="n">
        <v>108.5</v>
      </c>
      <c r="E25" s="2" t="n">
        <v>100.1</v>
      </c>
      <c r="F25" s="3" t="n">
        <v>12964.7</v>
      </c>
      <c r="G25" s="3" t="n">
        <v>28680.3</v>
      </c>
      <c r="H25" t="n">
        <v>106</v>
      </c>
      <c r="I25" s="4" t="n">
        <v>16.7</v>
      </c>
      <c r="J25" t="b">
        <v>1</v>
      </c>
    </row>
    <row r="26">
      <c r="A26" t="n">
        <v>11</v>
      </c>
      <c r="B26" t="inlineStr">
        <is>
          <t>Inventory Modernisation</t>
        </is>
      </c>
      <c r="C26" s="7" t="inlineStr">
        <is>
          <t>2026-08-17</t>
        </is>
      </c>
      <c r="D26" s="2" t="n">
        <v>80.5</v>
      </c>
      <c r="E26" s="2" t="n">
        <v>67.09999999999999</v>
      </c>
      <c r="F26" s="3" t="n">
        <v>8698.5</v>
      </c>
      <c r="G26" s="3" t="n">
        <v>17802.3</v>
      </c>
      <c r="H26" t="n">
        <v>67</v>
      </c>
      <c r="I26" s="4" t="n">
        <v>94.40000000000001</v>
      </c>
      <c r="J26" t="b">
        <v>0</v>
      </c>
    </row>
    <row r="27">
      <c r="A27" t="n">
        <v>11</v>
      </c>
      <c r="B27" t="inlineStr">
        <is>
          <t>Inventory Modernisation</t>
        </is>
      </c>
      <c r="C27" s="7" t="inlineStr">
        <is>
          <t>2026-08-24</t>
        </is>
      </c>
      <c r="D27" s="2" t="n">
        <v>87</v>
      </c>
      <c r="E27" s="2" t="n">
        <v>72.3</v>
      </c>
      <c r="F27" s="3" t="n">
        <v>9917.5</v>
      </c>
      <c r="G27" s="3" t="n">
        <v>19833</v>
      </c>
      <c r="H27" t="n">
        <v>82</v>
      </c>
      <c r="I27" s="4" t="n">
        <v>94.09999999999999</v>
      </c>
      <c r="J27" t="b">
        <v>0</v>
      </c>
    </row>
    <row r="28">
      <c r="A28" t="n">
        <v>11</v>
      </c>
      <c r="B28" t="inlineStr">
        <is>
          <t>Inventory Modernisation</t>
        </is>
      </c>
      <c r="C28" s="7" t="inlineStr">
        <is>
          <t>2026-08-31</t>
        </is>
      </c>
      <c r="D28" s="2" t="n">
        <v>12.8</v>
      </c>
      <c r="E28" s="2" t="n">
        <v>11.8</v>
      </c>
      <c r="F28" s="3" t="n">
        <v>1217.9</v>
      </c>
      <c r="G28" s="3" t="n">
        <v>2793.9</v>
      </c>
      <c r="H28" t="n">
        <v>12</v>
      </c>
      <c r="I28" s="4" t="n">
        <v>76.5</v>
      </c>
      <c r="J28" t="b">
        <v>0</v>
      </c>
    </row>
    <row r="29">
      <c r="A29" t="n">
        <v>12</v>
      </c>
      <c r="B29" t="inlineStr">
        <is>
          <t>Credit Risk Programme</t>
        </is>
      </c>
      <c r="C29" s="7" t="inlineStr">
        <is>
          <t>2026-08-03</t>
        </is>
      </c>
      <c r="D29" s="2" t="n">
        <v>20</v>
      </c>
      <c r="E29" s="2" t="n">
        <v>18.9</v>
      </c>
      <c r="F29" s="3" t="n">
        <v>2560</v>
      </c>
      <c r="G29" s="3" t="n">
        <v>5481</v>
      </c>
      <c r="H29" t="n">
        <v>17</v>
      </c>
      <c r="I29" s="4" t="n">
        <v>100</v>
      </c>
      <c r="J29" t="b">
        <v>0</v>
      </c>
    </row>
    <row r="30">
      <c r="A30" t="n">
        <v>12</v>
      </c>
      <c r="B30" t="inlineStr">
        <is>
          <t>Credit Risk Programme</t>
        </is>
      </c>
      <c r="C30" s="7" t="inlineStr">
        <is>
          <t>2026-08-17</t>
        </is>
      </c>
      <c r="D30" s="2" t="n">
        <v>16.3</v>
      </c>
      <c r="E30" s="2" t="n">
        <v>15.7</v>
      </c>
      <c r="F30" s="3" t="n">
        <v>2086.4</v>
      </c>
      <c r="G30" s="3" t="n">
        <v>4553</v>
      </c>
      <c r="H30" t="n">
        <v>16</v>
      </c>
      <c r="I30" s="4" t="n">
        <v>94.40000000000001</v>
      </c>
      <c r="J30" t="b">
        <v>0</v>
      </c>
    </row>
    <row r="31">
      <c r="A31" t="n">
        <v>12</v>
      </c>
      <c r="B31" t="inlineStr">
        <is>
          <t>Credit Risk Programme</t>
        </is>
      </c>
      <c r="C31" s="7" t="inlineStr">
        <is>
          <t>2026-08-24</t>
        </is>
      </c>
      <c r="D31" s="2" t="n">
        <v>35.9</v>
      </c>
      <c r="E31" s="2" t="n">
        <v>32.7</v>
      </c>
      <c r="F31" s="3" t="n">
        <v>4733.2</v>
      </c>
      <c r="G31" s="3" t="n">
        <v>9729.5</v>
      </c>
      <c r="H31" t="n">
        <v>29</v>
      </c>
      <c r="I31" s="4" t="n">
        <v>94.09999999999999</v>
      </c>
      <c r="J31" t="b">
        <v>0</v>
      </c>
    </row>
    <row r="32">
      <c r="A32" t="n">
        <v>12</v>
      </c>
      <c r="B32" t="inlineStr">
        <is>
          <t>Credit Risk Programme</t>
        </is>
      </c>
      <c r="C32" s="7" t="inlineStr">
        <is>
          <t>2026-08-31</t>
        </is>
      </c>
      <c r="D32" s="2" t="n">
        <v>7</v>
      </c>
      <c r="E32" s="2" t="n">
        <v>5.8</v>
      </c>
      <c r="F32" s="3" t="n">
        <v>1106</v>
      </c>
      <c r="G32" s="3" t="n">
        <v>2175</v>
      </c>
      <c r="H32" t="n">
        <v>9</v>
      </c>
      <c r="I32" s="4" t="n">
        <v>76.5</v>
      </c>
      <c r="J32" t="b">
        <v>0</v>
      </c>
    </row>
    <row r="33">
      <c r="A33" t="n">
        <v>13</v>
      </c>
      <c r="B33" t="inlineStr">
        <is>
          <t>Payments Assessment</t>
        </is>
      </c>
      <c r="C33" s="7" t="inlineStr">
        <is>
          <t>2026-08-03</t>
        </is>
      </c>
      <c r="D33" s="2" t="n">
        <v>61.4</v>
      </c>
      <c r="E33" s="2" t="n">
        <v>52.6</v>
      </c>
      <c r="F33" s="3" t="n">
        <v>5596.6</v>
      </c>
      <c r="G33" s="3" t="n">
        <v>11399.7</v>
      </c>
      <c r="H33" t="n">
        <v>58</v>
      </c>
      <c r="I33" s="4" t="n">
        <v>100</v>
      </c>
      <c r="J33" t="b">
        <v>0</v>
      </c>
    </row>
    <row r="34">
      <c r="A34" t="n">
        <v>13</v>
      </c>
      <c r="B34" t="inlineStr">
        <is>
          <t>Payments Assessment</t>
        </is>
      </c>
      <c r="C34" s="7" t="inlineStr">
        <is>
          <t>2026-08-17</t>
        </is>
      </c>
      <c r="D34" s="2" t="n">
        <v>66.59999999999999</v>
      </c>
      <c r="E34" s="2" t="n">
        <v>59</v>
      </c>
      <c r="F34" s="3" t="n">
        <v>7144.4</v>
      </c>
      <c r="G34" s="3" t="n">
        <v>15000.7</v>
      </c>
      <c r="H34" t="n">
        <v>60</v>
      </c>
      <c r="I34" s="4" t="n">
        <v>94.40000000000001</v>
      </c>
      <c r="J34" t="b">
        <v>0</v>
      </c>
    </row>
    <row r="35">
      <c r="A35" t="n">
        <v>13</v>
      </c>
      <c r="B35" t="inlineStr">
        <is>
          <t>Payments Assessment</t>
        </is>
      </c>
      <c r="C35" s="7" t="inlineStr">
        <is>
          <t>2026-08-24</t>
        </is>
      </c>
      <c r="D35" s="2" t="n">
        <v>66.59999999999999</v>
      </c>
      <c r="E35" s="2" t="n">
        <v>53.5</v>
      </c>
      <c r="F35" s="3" t="n">
        <v>7449</v>
      </c>
      <c r="G35" s="3" t="n">
        <v>14711.6</v>
      </c>
      <c r="H35" t="n">
        <v>57</v>
      </c>
      <c r="I35" s="4" t="n">
        <v>94.09999999999999</v>
      </c>
      <c r="J35" t="b">
        <v>0</v>
      </c>
    </row>
    <row r="36">
      <c r="A36" t="n">
        <v>13</v>
      </c>
      <c r="B36" t="inlineStr">
        <is>
          <t>Payments Assessment</t>
        </is>
      </c>
      <c r="C36" s="7" t="inlineStr">
        <is>
          <t>2026-08-31</t>
        </is>
      </c>
      <c r="D36" s="2" t="n">
        <v>10</v>
      </c>
      <c r="E36" s="2" t="n">
        <v>7.8</v>
      </c>
      <c r="F36" s="3" t="n">
        <v>1021</v>
      </c>
      <c r="G36" s="3" t="n">
        <v>1953.9</v>
      </c>
      <c r="H36" t="n">
        <v>10</v>
      </c>
      <c r="I36" s="4" t="n">
        <v>76.5</v>
      </c>
      <c r="J36" t="b">
        <v>0</v>
      </c>
    </row>
    <row r="37">
      <c r="A37" t="n">
        <v>14</v>
      </c>
      <c r="B37" t="inlineStr">
        <is>
          <t>Asset Register Programme</t>
        </is>
      </c>
      <c r="C37" s="7" t="inlineStr">
        <is>
          <t>2026-08-03</t>
        </is>
      </c>
      <c r="D37" s="2" t="n">
        <v>49.8</v>
      </c>
      <c r="E37" s="2" t="n">
        <v>41.9</v>
      </c>
      <c r="F37" s="3" t="n">
        <v>5251.4</v>
      </c>
      <c r="G37" s="3" t="n">
        <v>10399.6</v>
      </c>
      <c r="H37" t="n">
        <v>46</v>
      </c>
      <c r="I37" s="4" t="n">
        <v>100</v>
      </c>
      <c r="J37" t="b">
        <v>0</v>
      </c>
    </row>
    <row r="38">
      <c r="A38" t="n">
        <v>14</v>
      </c>
      <c r="B38" t="inlineStr">
        <is>
          <t>Asset Register Programme</t>
        </is>
      </c>
      <c r="C38" s="7" t="inlineStr">
        <is>
          <t>2026-08-17</t>
        </is>
      </c>
      <c r="D38" s="2" t="n">
        <v>74</v>
      </c>
      <c r="E38" s="2" t="n">
        <v>69.40000000000001</v>
      </c>
      <c r="F38" s="3" t="n">
        <v>8086</v>
      </c>
      <c r="G38" s="3" t="n">
        <v>17357.4</v>
      </c>
      <c r="H38" t="n">
        <v>70</v>
      </c>
      <c r="I38" s="4" t="n">
        <v>94.40000000000001</v>
      </c>
      <c r="J38" t="b">
        <v>0</v>
      </c>
    </row>
    <row r="39">
      <c r="A39" t="n">
        <v>14</v>
      </c>
      <c r="B39" t="inlineStr">
        <is>
          <t>Asset Register Programme</t>
        </is>
      </c>
      <c r="C39" s="7" t="inlineStr">
        <is>
          <t>2026-08-24</t>
        </is>
      </c>
      <c r="D39" s="2" t="n">
        <v>55.6</v>
      </c>
      <c r="E39" s="2" t="n">
        <v>50.5</v>
      </c>
      <c r="F39" s="3" t="n">
        <v>5092.9</v>
      </c>
      <c r="G39" s="3" t="n">
        <v>11234.6</v>
      </c>
      <c r="H39" t="n">
        <v>45</v>
      </c>
      <c r="I39" s="4" t="n">
        <v>94.09999999999999</v>
      </c>
      <c r="J39" t="b">
        <v>0</v>
      </c>
    </row>
    <row r="40">
      <c r="A40" t="n">
        <v>14</v>
      </c>
      <c r="B40" t="inlineStr">
        <is>
          <t>Asset Register Programme</t>
        </is>
      </c>
      <c r="C40" s="7" t="inlineStr">
        <is>
          <t>2026-08-31</t>
        </is>
      </c>
      <c r="D40" s="2" t="n">
        <v>19.3</v>
      </c>
      <c r="E40" s="2" t="n">
        <v>16.5</v>
      </c>
      <c r="F40" s="3" t="n">
        <v>2507.5</v>
      </c>
      <c r="G40" s="3" t="n">
        <v>4721.4</v>
      </c>
      <c r="H40" t="n">
        <v>16</v>
      </c>
      <c r="I40" s="4" t="n">
        <v>76.5</v>
      </c>
      <c r="J40" t="b">
        <v>0</v>
      </c>
    </row>
    <row r="41">
      <c r="A41" t="n">
        <v>15</v>
      </c>
      <c r="B41" t="inlineStr">
        <is>
          <t>Workforce Planning Programme</t>
        </is>
      </c>
      <c r="C41" s="7" t="inlineStr">
        <is>
          <t>2026-08-03</t>
        </is>
      </c>
      <c r="D41" s="2" t="n">
        <v>73.8</v>
      </c>
      <c r="E41" s="2" t="n">
        <v>65.90000000000001</v>
      </c>
      <c r="F41" s="3" t="n">
        <v>7883.1</v>
      </c>
      <c r="G41" s="3" t="n">
        <v>15012</v>
      </c>
      <c r="H41" t="n">
        <v>70</v>
      </c>
      <c r="I41" s="4" t="n">
        <v>100</v>
      </c>
      <c r="J41" t="b">
        <v>0</v>
      </c>
    </row>
    <row r="42">
      <c r="A42" t="n">
        <v>15</v>
      </c>
      <c r="B42" t="inlineStr">
        <is>
          <t>Workforce Planning Programme</t>
        </is>
      </c>
      <c r="C42" s="7" t="inlineStr">
        <is>
          <t>2026-08-17</t>
        </is>
      </c>
      <c r="D42" s="2" t="n">
        <v>84</v>
      </c>
      <c r="E42" s="2" t="n">
        <v>73.3</v>
      </c>
      <c r="F42" s="3" t="n">
        <v>9353.9</v>
      </c>
      <c r="G42" s="3" t="n">
        <v>17160.7</v>
      </c>
      <c r="H42" t="n">
        <v>66</v>
      </c>
      <c r="I42" s="4" t="n">
        <v>94.40000000000001</v>
      </c>
      <c r="J42" t="b">
        <v>0</v>
      </c>
    </row>
    <row r="43">
      <c r="A43" t="n">
        <v>15</v>
      </c>
      <c r="B43" t="inlineStr">
        <is>
          <t>Workforce Planning Programme</t>
        </is>
      </c>
      <c r="C43" s="7" t="inlineStr">
        <is>
          <t>2026-08-24</t>
        </is>
      </c>
      <c r="D43" s="2" t="n">
        <v>55.8</v>
      </c>
      <c r="E43" s="2" t="n">
        <v>52</v>
      </c>
      <c r="F43" s="3" t="n">
        <v>5863.5</v>
      </c>
      <c r="G43" s="3" t="n">
        <v>11338</v>
      </c>
      <c r="H43" t="n">
        <v>50</v>
      </c>
      <c r="I43" s="4" t="n">
        <v>94.09999999999999</v>
      </c>
      <c r="J43" t="b">
        <v>0</v>
      </c>
    </row>
    <row r="44">
      <c r="A44" t="n">
        <v>15</v>
      </c>
      <c r="B44" t="inlineStr">
        <is>
          <t>Workforce Planning Programme</t>
        </is>
      </c>
      <c r="C44" s="7" t="inlineStr">
        <is>
          <t>2026-08-31</t>
        </is>
      </c>
      <c r="D44" s="2" t="n">
        <v>14.9</v>
      </c>
      <c r="E44" s="2" t="n">
        <v>14.6</v>
      </c>
      <c r="F44" s="3" t="n">
        <v>1515.6</v>
      </c>
      <c r="G44" s="3" t="n">
        <v>3141.9</v>
      </c>
      <c r="H44" t="n">
        <v>15</v>
      </c>
      <c r="I44" s="4" t="n">
        <v>76.5</v>
      </c>
      <c r="J44" t="b">
        <v>0</v>
      </c>
    </row>
    <row r="45">
      <c r="A45" t="n">
        <v>16</v>
      </c>
      <c r="B45" t="inlineStr">
        <is>
          <t>Field Operations Rollout</t>
        </is>
      </c>
      <c r="C45" s="7" t="inlineStr">
        <is>
          <t>2026-08-03</t>
        </is>
      </c>
      <c r="D45" s="2" t="n">
        <v>20.8</v>
      </c>
      <c r="E45" s="2" t="n">
        <v>16.6</v>
      </c>
      <c r="F45" s="3" t="n">
        <v>2788.4</v>
      </c>
      <c r="G45" s="3" t="n">
        <v>4531.3</v>
      </c>
      <c r="H45" t="n">
        <v>19</v>
      </c>
      <c r="I45" s="4" t="n">
        <v>100</v>
      </c>
      <c r="J45" t="b">
        <v>0</v>
      </c>
    </row>
    <row r="46">
      <c r="A46" t="n">
        <v>16</v>
      </c>
      <c r="B46" t="inlineStr">
        <is>
          <t>Field Operations Rollout</t>
        </is>
      </c>
      <c r="C46" s="7" t="inlineStr">
        <is>
          <t>2026-08-17</t>
        </is>
      </c>
      <c r="D46" s="2" t="n">
        <v>64.2</v>
      </c>
      <c r="E46" s="2" t="n">
        <v>55.7</v>
      </c>
      <c r="F46" s="3" t="n">
        <v>9819.4</v>
      </c>
      <c r="G46" s="3" t="n">
        <v>18259.1</v>
      </c>
      <c r="H46" t="n">
        <v>57</v>
      </c>
      <c r="I46" s="4" t="n">
        <v>94.40000000000001</v>
      </c>
      <c r="J46" t="b">
        <v>0</v>
      </c>
    </row>
    <row r="47">
      <c r="A47" t="n">
        <v>16</v>
      </c>
      <c r="B47" t="inlineStr">
        <is>
          <t>Field Operations Rollout</t>
        </is>
      </c>
      <c r="C47" s="7" t="inlineStr">
        <is>
          <t>2026-08-24</t>
        </is>
      </c>
      <c r="D47" s="2" t="n">
        <v>20.1</v>
      </c>
      <c r="E47" s="2" t="n">
        <v>16.1</v>
      </c>
      <c r="F47" s="3" t="n">
        <v>2972.1</v>
      </c>
      <c r="G47" s="3" t="n">
        <v>5155.5</v>
      </c>
      <c r="H47" t="n">
        <v>19</v>
      </c>
      <c r="I47" s="4" t="n">
        <v>94.09999999999999</v>
      </c>
      <c r="J47" t="b">
        <v>0</v>
      </c>
    </row>
    <row r="48">
      <c r="A48" t="n">
        <v>16</v>
      </c>
      <c r="B48" t="inlineStr">
        <is>
          <t>Field Operations Rollout</t>
        </is>
      </c>
      <c r="C48" s="7" t="inlineStr">
        <is>
          <t>2026-08-31</t>
        </is>
      </c>
      <c r="D48" s="2" t="n">
        <v>3.5</v>
      </c>
      <c r="E48" s="2" t="n">
        <v>3.5</v>
      </c>
      <c r="F48" s="3" t="n">
        <v>262.5</v>
      </c>
      <c r="G48" s="3" t="n">
        <v>731.5</v>
      </c>
      <c r="H48" t="n">
        <v>4</v>
      </c>
      <c r="I48" s="4" t="n">
        <v>76.5</v>
      </c>
      <c r="J48" t="b">
        <v>0</v>
      </c>
    </row>
    <row r="49">
      <c r="A49" t="n">
        <v>18</v>
      </c>
      <c r="B49" t="inlineStr">
        <is>
          <t>Payments Modernisation</t>
        </is>
      </c>
      <c r="C49" s="7" t="inlineStr">
        <is>
          <t>2026-08-03</t>
        </is>
      </c>
      <c r="D49" s="2" t="n">
        <v>16</v>
      </c>
      <c r="E49" s="2" t="n">
        <v>14.8</v>
      </c>
      <c r="F49" s="3" t="n">
        <v>2736</v>
      </c>
      <c r="G49" s="3" t="n">
        <v>4854.4</v>
      </c>
      <c r="H49" t="n">
        <v>12</v>
      </c>
      <c r="I49" s="4" t="n">
        <v>100</v>
      </c>
      <c r="J49" t="b">
        <v>0</v>
      </c>
    </row>
    <row r="50">
      <c r="A50" t="n">
        <v>18</v>
      </c>
      <c r="B50" t="inlineStr">
        <is>
          <t>Payments Modernisation</t>
        </is>
      </c>
      <c r="C50" s="7" t="inlineStr">
        <is>
          <t>2026-08-17</t>
        </is>
      </c>
      <c r="D50" s="2" t="n">
        <v>2.2</v>
      </c>
      <c r="E50" s="2" t="n">
        <v>2.2</v>
      </c>
      <c r="F50" s="3" t="n">
        <v>257.2</v>
      </c>
      <c r="G50" s="3" t="n">
        <v>522.8</v>
      </c>
      <c r="H50" t="n">
        <v>3</v>
      </c>
      <c r="I50" s="4" t="n">
        <v>94.40000000000001</v>
      </c>
      <c r="J50" t="b">
        <v>0</v>
      </c>
    </row>
    <row r="51">
      <c r="A51" t="n">
        <v>18</v>
      </c>
      <c r="B51" t="inlineStr">
        <is>
          <t>Payments Modernisation</t>
        </is>
      </c>
      <c r="C51" s="7" t="inlineStr">
        <is>
          <t>2026-08-24</t>
        </is>
      </c>
      <c r="D51" s="2" t="n">
        <v>31.4</v>
      </c>
      <c r="E51" s="2" t="n">
        <v>27.6</v>
      </c>
      <c r="F51" s="3" t="n">
        <v>3827.2</v>
      </c>
      <c r="G51" s="3" t="n">
        <v>6869.8</v>
      </c>
      <c r="H51" t="n">
        <v>31</v>
      </c>
      <c r="I51" s="4" t="n">
        <v>94.09999999999999</v>
      </c>
      <c r="J51" t="b">
        <v>0</v>
      </c>
    </row>
    <row r="52">
      <c r="A52" t="n">
        <v>19</v>
      </c>
      <c r="B52" t="inlineStr">
        <is>
          <t>Grid Analytics Assessment</t>
        </is>
      </c>
      <c r="C52" s="7" t="inlineStr">
        <is>
          <t>2026-08-03</t>
        </is>
      </c>
      <c r="D52" s="2" t="n">
        <v>29</v>
      </c>
      <c r="E52" s="2" t="n">
        <v>26.2</v>
      </c>
      <c r="F52" s="3" t="n">
        <v>3920</v>
      </c>
      <c r="G52" s="3" t="n">
        <v>8545.799999999999</v>
      </c>
      <c r="H52" t="n">
        <v>31</v>
      </c>
      <c r="I52" s="4" t="n">
        <v>100</v>
      </c>
      <c r="J52" t="b">
        <v>0</v>
      </c>
    </row>
    <row r="53">
      <c r="A53" t="n">
        <v>19</v>
      </c>
      <c r="B53" t="inlineStr">
        <is>
          <t>Grid Analytics Assessment</t>
        </is>
      </c>
      <c r="C53" s="7" t="inlineStr">
        <is>
          <t>2026-08-17</t>
        </is>
      </c>
      <c r="D53" s="2" t="n">
        <v>25.9</v>
      </c>
      <c r="E53" s="2" t="n">
        <v>23.4</v>
      </c>
      <c r="F53" s="3" t="n">
        <v>3526</v>
      </c>
      <c r="G53" s="3" t="n">
        <v>7476.2</v>
      </c>
      <c r="H53" t="n">
        <v>27</v>
      </c>
      <c r="I53" s="4" t="n">
        <v>94.40000000000001</v>
      </c>
      <c r="J53" t="b">
        <v>0</v>
      </c>
    </row>
    <row r="54">
      <c r="A54" t="n">
        <v>19</v>
      </c>
      <c r="B54" t="inlineStr">
        <is>
          <t>Grid Analytics Assessment</t>
        </is>
      </c>
      <c r="C54" s="7" t="inlineStr">
        <is>
          <t>2026-08-24</t>
        </is>
      </c>
      <c r="D54" s="2" t="n">
        <v>39.6</v>
      </c>
      <c r="E54" s="2" t="n">
        <v>36</v>
      </c>
      <c r="F54" s="3" t="n">
        <v>5412</v>
      </c>
      <c r="G54" s="3" t="n">
        <v>11721.4</v>
      </c>
      <c r="H54" t="n">
        <v>39</v>
      </c>
      <c r="I54" s="4" t="n">
        <v>94.09999999999999</v>
      </c>
      <c r="J54" t="b">
        <v>0</v>
      </c>
    </row>
    <row r="55">
      <c r="A55" t="n">
        <v>19</v>
      </c>
      <c r="B55" t="inlineStr">
        <is>
          <t>Grid Analytics Assessment</t>
        </is>
      </c>
      <c r="C55" s="7" t="inlineStr">
        <is>
          <t>2026-08-31</t>
        </is>
      </c>
      <c r="D55" s="2" t="n">
        <v>9.6</v>
      </c>
      <c r="E55" s="2" t="n">
        <v>7.5</v>
      </c>
      <c r="F55" s="3" t="n">
        <v>1266</v>
      </c>
      <c r="G55" s="3" t="n">
        <v>2481.6</v>
      </c>
      <c r="H55" t="n">
        <v>9</v>
      </c>
      <c r="I55" s="4" t="n">
        <v>76.5</v>
      </c>
      <c r="J55" t="b">
        <v>0</v>
      </c>
    </row>
    <row r="56">
      <c r="A56" t="n">
        <v>20</v>
      </c>
      <c r="B56" t="inlineStr">
        <is>
          <t>Inventory Implementation</t>
        </is>
      </c>
      <c r="C56" s="7" t="inlineStr">
        <is>
          <t>2026-08-03</t>
        </is>
      </c>
      <c r="D56" s="2" t="n">
        <v>91.7</v>
      </c>
      <c r="E56" s="2" t="n">
        <v>85.90000000000001</v>
      </c>
      <c r="F56" s="3" t="n">
        <v>9577.6</v>
      </c>
      <c r="G56" s="3" t="n">
        <v>21654.1</v>
      </c>
      <c r="H56" t="n">
        <v>84</v>
      </c>
      <c r="I56" s="4" t="n">
        <v>100</v>
      </c>
      <c r="J56" t="b">
        <v>0</v>
      </c>
    </row>
    <row r="57">
      <c r="A57" t="n">
        <v>20</v>
      </c>
      <c r="B57" t="inlineStr">
        <is>
          <t>Inventory Implementation</t>
        </is>
      </c>
      <c r="C57" s="7" t="inlineStr">
        <is>
          <t>2026-08-17</t>
        </is>
      </c>
      <c r="D57" s="2" t="n">
        <v>98.2</v>
      </c>
      <c r="E57" s="2" t="n">
        <v>89.5</v>
      </c>
      <c r="F57" s="3" t="n">
        <v>9170.1</v>
      </c>
      <c r="G57" s="3" t="n">
        <v>20439.7</v>
      </c>
      <c r="H57" t="n">
        <v>95</v>
      </c>
      <c r="I57" s="4" t="n">
        <v>94.40000000000001</v>
      </c>
      <c r="J57" t="b">
        <v>0</v>
      </c>
    </row>
    <row r="58">
      <c r="A58" t="n">
        <v>20</v>
      </c>
      <c r="B58" t="inlineStr">
        <is>
          <t>Inventory Implementation</t>
        </is>
      </c>
      <c r="C58" s="7" t="inlineStr">
        <is>
          <t>2026-08-24</t>
        </is>
      </c>
      <c r="D58" s="2" t="n">
        <v>123.2</v>
      </c>
      <c r="E58" s="2" t="n">
        <v>108.6</v>
      </c>
      <c r="F58" s="3" t="n">
        <v>11807.8</v>
      </c>
      <c r="G58" s="3" t="n">
        <v>25786.6</v>
      </c>
      <c r="H58" t="n">
        <v>99</v>
      </c>
      <c r="I58" s="4" t="n">
        <v>94.09999999999999</v>
      </c>
      <c r="J58" t="b">
        <v>0</v>
      </c>
    </row>
    <row r="59">
      <c r="A59" t="n">
        <v>20</v>
      </c>
      <c r="B59" t="inlineStr">
        <is>
          <t>Inventory Implementation</t>
        </is>
      </c>
      <c r="C59" s="7" t="inlineStr">
        <is>
          <t>2026-08-31</t>
        </is>
      </c>
      <c r="D59" s="2" t="n">
        <v>32</v>
      </c>
      <c r="E59" s="2" t="n">
        <v>27.5</v>
      </c>
      <c r="F59" s="3" t="n">
        <v>3631</v>
      </c>
      <c r="G59" s="3" t="n">
        <v>7521.4</v>
      </c>
      <c r="H59" t="n">
        <v>29</v>
      </c>
      <c r="I59" s="4" t="n">
        <v>76.5</v>
      </c>
      <c r="J59" t="b">
        <v>0</v>
      </c>
    </row>
    <row r="60">
      <c r="A60" t="n">
        <v>22</v>
      </c>
      <c r="B60" t="inlineStr">
        <is>
          <t>Billing Platform Assessment</t>
        </is>
      </c>
      <c r="C60" s="7" t="inlineStr">
        <is>
          <t>2026-08-03</t>
        </is>
      </c>
      <c r="D60" s="2" t="n">
        <v>45.8</v>
      </c>
      <c r="E60" s="2" t="n">
        <v>40.2</v>
      </c>
      <c r="F60" s="3" t="n">
        <v>5904.4</v>
      </c>
      <c r="G60" s="3" t="n">
        <v>11817.8</v>
      </c>
      <c r="H60" t="n">
        <v>48</v>
      </c>
      <c r="I60" s="4" t="n">
        <v>100</v>
      </c>
      <c r="J60" t="b">
        <v>0</v>
      </c>
    </row>
    <row r="61">
      <c r="A61" t="n">
        <v>22</v>
      </c>
      <c r="B61" t="inlineStr">
        <is>
          <t>Billing Platform Assessment</t>
        </is>
      </c>
      <c r="C61" s="7" t="inlineStr">
        <is>
          <t>2026-08-17</t>
        </is>
      </c>
      <c r="D61" s="2" t="n">
        <v>28.2</v>
      </c>
      <c r="E61" s="2" t="n">
        <v>27.3</v>
      </c>
      <c r="F61" s="3" t="n">
        <v>3352.7</v>
      </c>
      <c r="G61" s="3" t="n">
        <v>7140.7</v>
      </c>
      <c r="H61" t="n">
        <v>26</v>
      </c>
      <c r="I61" s="4" t="n">
        <v>94.40000000000001</v>
      </c>
      <c r="J61" t="b">
        <v>0</v>
      </c>
    </row>
    <row r="62">
      <c r="A62" t="n">
        <v>22</v>
      </c>
      <c r="B62" t="inlineStr">
        <is>
          <t>Billing Platform Assessment</t>
        </is>
      </c>
      <c r="C62" s="7" t="inlineStr">
        <is>
          <t>2026-08-24</t>
        </is>
      </c>
      <c r="D62" s="2" t="n">
        <v>40.7</v>
      </c>
      <c r="E62" s="2" t="n">
        <v>39.4</v>
      </c>
      <c r="F62" s="3" t="n">
        <v>5247.5</v>
      </c>
      <c r="G62" s="3" t="n">
        <v>11074.1</v>
      </c>
      <c r="H62" t="n">
        <v>39</v>
      </c>
      <c r="I62" s="4" t="n">
        <v>94.09999999999999</v>
      </c>
      <c r="J62" t="b">
        <v>0</v>
      </c>
    </row>
    <row r="63">
      <c r="A63" t="n">
        <v>22</v>
      </c>
      <c r="B63" t="inlineStr">
        <is>
          <t>Billing Platform Assessment</t>
        </is>
      </c>
      <c r="C63" s="7" t="inlineStr">
        <is>
          <t>2026-08-31</t>
        </is>
      </c>
      <c r="D63" s="2" t="n">
        <v>4.2</v>
      </c>
      <c r="E63" s="2" t="n">
        <v>4.2</v>
      </c>
      <c r="F63" s="3" t="n">
        <v>936.6</v>
      </c>
      <c r="G63" s="3" t="n">
        <v>1965.6</v>
      </c>
      <c r="H63" t="n">
        <v>4</v>
      </c>
      <c r="I63" s="4" t="n">
        <v>76.5</v>
      </c>
      <c r="J63" t="b">
        <v>0</v>
      </c>
    </row>
    <row r="64">
      <c r="A64" t="n">
        <v>23</v>
      </c>
      <c r="B64" t="inlineStr">
        <is>
          <t>Asset Register Assessment</t>
        </is>
      </c>
      <c r="C64" s="7" t="inlineStr">
        <is>
          <t>2026-08-03</t>
        </is>
      </c>
      <c r="D64" s="2" t="n">
        <v>17.2</v>
      </c>
      <c r="E64" s="2" t="n">
        <v>16.5</v>
      </c>
      <c r="F64" s="3" t="n">
        <v>2516.2</v>
      </c>
      <c r="G64" s="3" t="n">
        <v>5072.1</v>
      </c>
      <c r="H64" t="n">
        <v>13</v>
      </c>
      <c r="I64" s="4" t="n">
        <v>100</v>
      </c>
      <c r="J64" t="b">
        <v>0</v>
      </c>
    </row>
    <row r="65">
      <c r="A65" t="n">
        <v>23</v>
      </c>
      <c r="B65" t="inlineStr">
        <is>
          <t>Asset Register Assessment</t>
        </is>
      </c>
      <c r="C65" s="7" t="inlineStr">
        <is>
          <t>2026-08-10</t>
        </is>
      </c>
      <c r="D65" s="2" t="n">
        <v>87</v>
      </c>
      <c r="E65" s="2" t="n">
        <v>80.2</v>
      </c>
      <c r="F65" s="3" t="n">
        <v>12103.1</v>
      </c>
      <c r="G65" s="3" t="n">
        <v>24097</v>
      </c>
      <c r="H65" t="n">
        <v>69</v>
      </c>
      <c r="I65" s="4" t="n">
        <v>16.7</v>
      </c>
      <c r="J65" t="b">
        <v>1</v>
      </c>
    </row>
    <row r="66">
      <c r="A66" t="n">
        <v>23</v>
      </c>
      <c r="B66" t="inlineStr">
        <is>
          <t>Asset Register Assessment</t>
        </is>
      </c>
      <c r="C66" s="7" t="inlineStr">
        <is>
          <t>2026-08-17</t>
        </is>
      </c>
      <c r="D66" s="2" t="n">
        <v>13.7</v>
      </c>
      <c r="E66" s="2" t="n">
        <v>12.5</v>
      </c>
      <c r="F66" s="3" t="n">
        <v>2356.4</v>
      </c>
      <c r="G66" s="3" t="n">
        <v>4312.5</v>
      </c>
      <c r="H66" t="n">
        <v>16</v>
      </c>
      <c r="I66" s="4" t="n">
        <v>94.40000000000001</v>
      </c>
      <c r="J66" t="b">
        <v>0</v>
      </c>
    </row>
    <row r="67">
      <c r="A67" t="n">
        <v>23</v>
      </c>
      <c r="B67" t="inlineStr">
        <is>
          <t>Asset Register Assessment</t>
        </is>
      </c>
      <c r="C67" s="7" t="inlineStr">
        <is>
          <t>2026-08-24</t>
        </is>
      </c>
      <c r="D67" s="2" t="n">
        <v>19.4</v>
      </c>
      <c r="E67" s="2" t="n">
        <v>16.1</v>
      </c>
      <c r="F67" s="3" t="n">
        <v>2566.3</v>
      </c>
      <c r="G67" s="3" t="n">
        <v>4473.5</v>
      </c>
      <c r="H67" t="n">
        <v>16</v>
      </c>
      <c r="I67" s="4" t="n">
        <v>94.09999999999999</v>
      </c>
      <c r="J67" t="b">
        <v>0</v>
      </c>
    </row>
    <row r="68">
      <c r="A68" t="n">
        <v>25</v>
      </c>
      <c r="B68" t="inlineStr">
        <is>
          <t>Billing Platform Implementation</t>
        </is>
      </c>
      <c r="C68" s="7" t="inlineStr">
        <is>
          <t>2026-08-03</t>
        </is>
      </c>
      <c r="D68" s="2" t="n">
        <v>33.9</v>
      </c>
      <c r="E68" s="2" t="n">
        <v>28.3</v>
      </c>
      <c r="F68" s="3" t="n">
        <v>4500.8</v>
      </c>
      <c r="G68" s="3" t="n">
        <v>8091.5</v>
      </c>
      <c r="H68" t="n">
        <v>32</v>
      </c>
      <c r="I68" s="4" t="n">
        <v>100</v>
      </c>
      <c r="J68" t="b">
        <v>0</v>
      </c>
    </row>
    <row r="69">
      <c r="A69" t="n">
        <v>29</v>
      </c>
      <c r="B69" t="inlineStr">
        <is>
          <t>Grid Analytics Integration</t>
        </is>
      </c>
      <c r="C69" s="7" t="inlineStr">
        <is>
          <t>2026-08-03</t>
        </is>
      </c>
      <c r="D69" s="2" t="n">
        <v>22.2</v>
      </c>
      <c r="E69" s="2" t="n">
        <v>21</v>
      </c>
      <c r="F69" s="3" t="n">
        <v>2579.4</v>
      </c>
      <c r="G69" s="3" t="n">
        <v>5375.7</v>
      </c>
      <c r="H69" t="n">
        <v>23</v>
      </c>
      <c r="I69" s="4" t="n">
        <v>100</v>
      </c>
      <c r="J69" t="b">
        <v>0</v>
      </c>
    </row>
    <row r="70">
      <c r="A70" t="n">
        <v>29</v>
      </c>
      <c r="B70" t="inlineStr">
        <is>
          <t>Grid Analytics Integration</t>
        </is>
      </c>
      <c r="C70" s="7" t="inlineStr">
        <is>
          <t>2026-08-17</t>
        </is>
      </c>
      <c r="D70" s="2" t="n">
        <v>57.5</v>
      </c>
      <c r="E70" s="2" t="n">
        <v>49.8</v>
      </c>
      <c r="F70" s="3" t="n">
        <v>6358.1</v>
      </c>
      <c r="G70" s="3" t="n">
        <v>11510.6</v>
      </c>
      <c r="H70" t="n">
        <v>46</v>
      </c>
      <c r="I70" s="4" t="n">
        <v>94.40000000000001</v>
      </c>
      <c r="J70" t="b">
        <v>0</v>
      </c>
    </row>
    <row r="71">
      <c r="A71" t="n">
        <v>29</v>
      </c>
      <c r="B71" t="inlineStr">
        <is>
          <t>Grid Analytics Integration</t>
        </is>
      </c>
      <c r="C71" s="7" t="inlineStr">
        <is>
          <t>2026-08-24</t>
        </is>
      </c>
      <c r="D71" s="2" t="n">
        <v>62.7</v>
      </c>
      <c r="E71" s="2" t="n">
        <v>60.2</v>
      </c>
      <c r="F71" s="3" t="n">
        <v>7159.7</v>
      </c>
      <c r="G71" s="3" t="n">
        <v>14644.7</v>
      </c>
      <c r="H71" t="n">
        <v>52</v>
      </c>
      <c r="I71" s="4" t="n">
        <v>94.09999999999999</v>
      </c>
      <c r="J71" t="b">
        <v>0</v>
      </c>
    </row>
    <row r="72">
      <c r="A72" t="n">
        <v>29</v>
      </c>
      <c r="B72" t="inlineStr">
        <is>
          <t>Grid Analytics Integration</t>
        </is>
      </c>
      <c r="C72" s="7" t="inlineStr">
        <is>
          <t>2026-08-31</t>
        </is>
      </c>
      <c r="D72" s="2" t="n">
        <v>13.6</v>
      </c>
      <c r="E72" s="2" t="n">
        <v>13.3</v>
      </c>
      <c r="F72" s="3" t="n">
        <v>1572.8</v>
      </c>
      <c r="G72" s="3" t="n">
        <v>3149.3</v>
      </c>
      <c r="H72" t="n">
        <v>18</v>
      </c>
      <c r="I72" s="4" t="n">
        <v>76.5</v>
      </c>
      <c r="J72" t="b">
        <v>0</v>
      </c>
    </row>
    <row r="73">
      <c r="A73" t="n">
        <v>30</v>
      </c>
      <c r="B73" t="inlineStr">
        <is>
          <t>Asset Register Migration</t>
        </is>
      </c>
      <c r="C73" s="7" t="inlineStr">
        <is>
          <t>2026-08-03</t>
        </is>
      </c>
      <c r="D73" s="2" t="n">
        <v>46.3</v>
      </c>
      <c r="E73" s="2" t="n">
        <v>38.4</v>
      </c>
      <c r="F73" s="3" t="n">
        <v>4946.6</v>
      </c>
      <c r="G73" s="3" t="n">
        <v>9630.700000000001</v>
      </c>
      <c r="H73" t="n">
        <v>43</v>
      </c>
      <c r="I73" s="4" t="n">
        <v>100</v>
      </c>
      <c r="J73" t="b">
        <v>0</v>
      </c>
    </row>
    <row r="74">
      <c r="A74" t="n">
        <v>30</v>
      </c>
      <c r="B74" t="inlineStr">
        <is>
          <t>Asset Register Migration</t>
        </is>
      </c>
      <c r="C74" s="7" t="inlineStr">
        <is>
          <t>2026-08-17</t>
        </is>
      </c>
      <c r="D74" s="2" t="n">
        <v>62.2</v>
      </c>
      <c r="E74" s="2" t="n">
        <v>54.8</v>
      </c>
      <c r="F74" s="3" t="n">
        <v>6783.9</v>
      </c>
      <c r="G74" s="3" t="n">
        <v>13660.2</v>
      </c>
      <c r="H74" t="n">
        <v>54</v>
      </c>
      <c r="I74" s="4" t="n">
        <v>94.40000000000001</v>
      </c>
      <c r="J74" t="b">
        <v>0</v>
      </c>
    </row>
    <row r="75">
      <c r="A75" t="n">
        <v>30</v>
      </c>
      <c r="B75" t="inlineStr">
        <is>
          <t>Asset Register Migration</t>
        </is>
      </c>
      <c r="C75" s="7" t="inlineStr">
        <is>
          <t>2026-08-24</t>
        </is>
      </c>
      <c r="D75" s="2" t="n">
        <v>31.5</v>
      </c>
      <c r="E75" s="2" t="n">
        <v>26.4</v>
      </c>
      <c r="F75" s="3" t="n">
        <v>2853.6</v>
      </c>
      <c r="G75" s="3" t="n">
        <v>5657.6</v>
      </c>
      <c r="H75" t="n">
        <v>30</v>
      </c>
      <c r="I75" s="4" t="n">
        <v>94.09999999999999</v>
      </c>
      <c r="J75" t="b">
        <v>0</v>
      </c>
    </row>
    <row r="76">
      <c r="A76" t="n">
        <v>30</v>
      </c>
      <c r="B76" t="inlineStr">
        <is>
          <t>Asset Register Migration</t>
        </is>
      </c>
      <c r="C76" s="7" t="inlineStr">
        <is>
          <t>2026-08-31</t>
        </is>
      </c>
      <c r="D76" s="2" t="n">
        <v>11.2</v>
      </c>
      <c r="E76" s="2" t="n">
        <v>6.8</v>
      </c>
      <c r="F76" s="3" t="n">
        <v>919.2</v>
      </c>
      <c r="G76" s="3" t="n">
        <v>1306.5</v>
      </c>
      <c r="H76" t="n">
        <v>11</v>
      </c>
      <c r="I76" s="4" t="n">
        <v>76.5</v>
      </c>
      <c r="J7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2" customWidth="1" min="3" max="3"/>
    <col width="52" customWidth="1" min="4" max="4"/>
    <col width="52" customWidth="1" min="5" max="5"/>
    <col width="52" customWidth="1" min="6" max="6"/>
    <col width="17" customWidth="1" min="7" max="7"/>
  </cols>
  <sheetData>
    <row r="1">
      <c r="A1" s="6" t="inlineStr">
        <is>
          <t>engagement_id</t>
        </is>
      </c>
      <c r="B1" s="6" t="inlineStr">
        <is>
          <t>flag</t>
        </is>
      </c>
      <c r="C1" s="6" t="inlineStr">
        <is>
          <t>triggers</t>
        </is>
      </c>
      <c r="D1" s="6" t="inlineStr">
        <is>
          <t>situation</t>
        </is>
      </c>
      <c r="E1" s="6" t="inlineStr">
        <is>
          <t>cause</t>
        </is>
      </c>
      <c r="F1" s="6" t="inlineStr">
        <is>
          <t>recommended_action</t>
        </is>
      </c>
      <c r="G1" s="6" t="inlineStr">
        <is>
          <t>decision_owner</t>
        </is>
      </c>
    </row>
    <row r="2">
      <c r="A2" t="n">
        <v>5</v>
      </c>
      <c r="B2" t="inlineStr">
        <is>
          <t>NEEDS REVIEW</t>
        </is>
      </c>
      <c r="C2" t="inlineStr">
        <is>
          <t>fixed fee below the margin floor; margin failing, burn healthy</t>
        </is>
      </c>
      <c r="D2" t="inlineStr">
        <is>
          <t>Fixed-fee engagement at -17.6% margin, against a floor of 15%. Margin is -17.6% while burn is 65.1% of the 2,690.0 hour ceiling. The two figures disagree and the data does not say which is the operative one.</t>
        </is>
      </c>
      <c r="E2" t="inlineStr">
        <is>
          <t>not determinable from available data</t>
        </is>
      </c>
      <c r="F2" t="inlineStr">
        <is>
          <t>Take the fixed-fee position to a scope and pricing conversation with the client before the 40 remaining contract days are used: decide whether remaining scope is delivered at the agreed fee, re-priced, or reduced. Engagement lead to decide, with the partner on the pricing question.</t>
        </is>
      </c>
      <c r="G2" t="inlineStr">
        <is>
          <t>engagement lead</t>
        </is>
      </c>
    </row>
    <row r="3">
      <c r="A3" t="n">
        <v>8</v>
      </c>
      <c r="B3" t="inlineStr">
        <is>
          <t>RED</t>
        </is>
      </c>
      <c r="C3" t="inlineStr">
        <is>
          <t>projected overrun, high confidence; burn above 90% with duration remaining</t>
        </is>
      </c>
      <c r="D3" t="inlineStr">
        <is>
          <t>Projected overrun is 145.4% against a ceiling of 1,020.0 hours, at high projection confidence. Burn is 131.0% of a 1,020.0 hour ceiling with 254 of 542 contract days remaining.</t>
        </is>
      </c>
      <c r="E3" t="inlineStr">
        <is>
          <t>not determinable from available data</t>
        </is>
      </c>
      <c r="F3" t="inlineStr">
        <is>
          <t>Hours are 316.4 past the 1,020.0 hour ceiling with 254 contract days remaining. Decide whether to stop work at the ceiling or raise a change order for the remaining scope, and confirm the client position on the hours already delivered past it. Engagement lead to decide.</t>
        </is>
      </c>
      <c r="G3" t="inlineStr">
        <is>
          <t>engagement lead</t>
        </is>
      </c>
    </row>
    <row r="4">
      <c r="A4" t="n">
        <v>9</v>
      </c>
      <c r="B4" t="inlineStr">
        <is>
          <t>RED</t>
        </is>
      </c>
      <c r="C4" t="inlineStr">
        <is>
          <t>projected overrun, high confidence; burn above 90% with duration remaining</t>
        </is>
      </c>
      <c r="D4" t="inlineStr">
        <is>
          <t>Projected overrun is 78.8% against a ceiling of 780.0 hours, at high projection confidence. Burn is 124.5% of a 780.0 hour ceiling with 71 of 291 contract days remaining.</t>
        </is>
      </c>
      <c r="E4" t="inlineStr">
        <is>
          <t>not determinable from available data</t>
        </is>
      </c>
      <c r="F4" t="inlineStr">
        <is>
          <t>Hours are 191.2 past the 780.0 hour ceiling with 71 contract days remaining. Decide whether to raise a change order or close out at the ceiling. Engagement lead to decide.</t>
        </is>
      </c>
      <c r="G4" t="inlineStr">
        <is>
          <t>engagement lead</t>
        </is>
      </c>
    </row>
    <row r="5">
      <c r="A5" t="n">
        <v>12</v>
      </c>
      <c r="B5" t="inlineStr">
        <is>
          <t>NEEDS REVIEW</t>
        </is>
      </c>
      <c r="C5" t="inlineStr">
        <is>
          <t>concentration above median fee</t>
        </is>
      </c>
      <c r="D5" t="inlineStr">
        <is>
          <t>One person is 85.4% of hours on an engagement of 478,040, above the median fee. 2 people have logged time.</t>
        </is>
      </c>
      <c r="E5" t="inlineStr">
        <is>
          <t>not determinable from available data</t>
        </is>
      </c>
      <c r="F5" t="inlineStr">
        <is>
          <t>None. This trigger is a reason to look, not a decision to take.</t>
        </is>
      </c>
      <c r="G5" t="inlineStr">
        <is>
          <t>engagement lead</t>
        </is>
      </c>
    </row>
    <row r="6">
      <c r="A6" t="n">
        <v>20</v>
      </c>
      <c r="B6" t="inlineStr">
        <is>
          <t>RED</t>
        </is>
      </c>
      <c r="C6" t="inlineStr">
        <is>
          <t>projected overrun, high confidence</t>
        </is>
      </c>
      <c r="D6" t="inlineStr">
        <is>
          <t>Projected overrun is 30.8% against a ceiling of 4,840.0 hours, at high projection confidence.</t>
        </is>
      </c>
      <c r="E6" t="inlineStr">
        <is>
          <t>not determinable from available data</t>
        </is>
      </c>
      <c r="F6" t="inlineStr">
        <is>
          <t>Projection at the current run rate exceeds the 4,840.0 hour ceiling by 30.8% with 228 contract days remaining. Decide whether the run rate is reduced, the scope trimmed, or a change order raised now rather than at the ceiling. Engagement lead to decide.</t>
        </is>
      </c>
      <c r="G6" t="inlineStr">
        <is>
          <t>engagement lead</t>
        </is>
      </c>
    </row>
    <row r="7">
      <c r="A7" t="n">
        <v>22</v>
      </c>
      <c r="B7" t="inlineStr">
        <is>
          <t>RED</t>
        </is>
      </c>
      <c r="C7" t="inlineStr">
        <is>
          <t>projected overrun, high confidence</t>
        </is>
      </c>
      <c r="D7" t="inlineStr">
        <is>
          <t>Projected overrun is 11.1% against a ceiling of 1,520.0 hours, at high projection confidence.</t>
        </is>
      </c>
      <c r="E7" t="inlineStr">
        <is>
          <t>not determinable from available data</t>
        </is>
      </c>
      <c r="F7" t="inlineStr">
        <is>
          <t>Projection at the current run rate exceeds the 1,520.0 hour ceiling by 11.1% with 147 contract days remaining. Decide whether to re-plan the remaining scope or raise a change order. Engagement lead to decide.</t>
        </is>
      </c>
      <c r="G7" t="inlineStr">
        <is>
          <t>engagement lead</t>
        </is>
      </c>
    </row>
    <row r="8">
      <c r="A8" t="n">
        <v>25</v>
      </c>
      <c r="B8" t="inlineStr">
        <is>
          <t>RED</t>
        </is>
      </c>
      <c r="C8" t="inlineStr">
        <is>
          <t>no time logged for 14 days</t>
        </is>
      </c>
      <c r="D8" t="inlineStr">
        <is>
          <t>No time has been logged for 24 days and the engagement is still active. Absent data is not evidence of completion.</t>
        </is>
      </c>
      <c r="E8" t="inlineStr">
        <is>
          <t>not determinable from available data</t>
        </is>
      </c>
      <c r="F8" t="inlineStr">
        <is>
          <t>Confirm with the delivery team whether work is ongoing and timesheets are outstanding, or whether delivery has in fact stopped; the absence of entries does not distinguish the two. Once known, decide whether the engagement status is changed. Engagement lead to decide.</t>
        </is>
      </c>
      <c r="G8" t="inlineStr">
        <is>
          <t>engagement 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Record quality — entries in the period</t>
        </is>
      </c>
    </row>
    <row r="2">
      <c r="A2" t="inlineStr">
        <is>
          <t>Time entries in the period</t>
        </is>
      </c>
      <c r="B2" t="n">
        <v>2774</v>
      </c>
      <c r="C2" t="inlineStr">
        <is>
          <t>entry_count</t>
        </is>
      </c>
    </row>
    <row r="3">
      <c r="A3" t="inlineStr">
        <is>
          <t>Filed after the period closed</t>
        </is>
      </c>
      <c r="B3" t="n">
        <v>160</v>
      </c>
      <c r="C3" t="inlineStr">
        <is>
          <t>late_entries</t>
        </is>
      </c>
    </row>
    <row r="4">
      <c r="A4" t="inlineStr">
        <is>
          <t>Filed late, as a percentage</t>
        </is>
      </c>
      <c r="B4" s="4" t="n">
        <v>5.8</v>
      </c>
      <c r="C4" t="inlineStr">
        <is>
          <t>late_entry_pct</t>
        </is>
      </c>
    </row>
    <row r="5">
      <c r="A5" t="inlineStr">
        <is>
          <t>No billable flag set</t>
        </is>
      </c>
      <c r="B5" t="n">
        <v>2</v>
      </c>
      <c r="C5" t="inlineStr">
        <is>
          <t>null_billable</t>
        </is>
      </c>
    </row>
    <row r="6">
      <c r="A6" t="inlineStr">
        <is>
          <t>Redundant rows: same person, engagement, day and hours</t>
        </is>
      </c>
      <c r="B6" t="n">
        <v>1</v>
      </c>
      <c r="C6" t="inlineStr">
        <is>
          <t>suspected_duplicates</t>
        </is>
      </c>
    </row>
    <row r="7">
      <c r="A7" t="inlineStr">
        <is>
          <t>Distinct duplicate groups</t>
        </is>
      </c>
      <c r="B7" t="n">
        <v>1</v>
      </c>
      <c r="C7" t="inlineStr">
        <is>
          <t>duplicate_groups</t>
        </is>
      </c>
    </row>
    <row r="9">
      <c r="A9" s="1" t="inlineStr">
        <is>
          <t>Reporting coverage by week</t>
        </is>
      </c>
    </row>
    <row r="10">
      <c r="A10" s="6" t="inlineStr">
        <is>
          <t>week_start</t>
        </is>
      </c>
      <c r="B10" s="6" t="inlineStr">
        <is>
          <t>week_end</t>
        </is>
      </c>
      <c r="C10" s="6" t="inlineStr">
        <is>
          <t>engagements_active</t>
        </is>
      </c>
      <c r="D10" s="6" t="inlineStr">
        <is>
          <t>engagements_reporting</t>
        </is>
      </c>
      <c r="E10" s="6" t="inlineStr">
        <is>
          <t>pct_active_reporting</t>
        </is>
      </c>
      <c r="F10" s="6" t="inlineStr">
        <is>
          <t>firm_wide_gap</t>
        </is>
      </c>
    </row>
    <row r="11">
      <c r="A11" s="7" t="inlineStr">
        <is>
          <t>2026-07-27</t>
        </is>
      </c>
      <c r="B11" s="7" t="inlineStr">
        <is>
          <t>2026-08-02</t>
        </is>
      </c>
      <c r="C11" t="n">
        <v>18</v>
      </c>
      <c r="D11" t="n">
        <v>18</v>
      </c>
      <c r="E11" s="4" t="n">
        <v>100</v>
      </c>
      <c r="F11" t="b">
        <v>0</v>
      </c>
    </row>
    <row r="12">
      <c r="A12" s="7" t="inlineStr">
        <is>
          <t>2026-08-03</t>
        </is>
      </c>
      <c r="B12" s="7" t="inlineStr">
        <is>
          <t>2026-08-09</t>
        </is>
      </c>
      <c r="C12" t="n">
        <v>18</v>
      </c>
      <c r="D12" t="n">
        <v>18</v>
      </c>
      <c r="E12" s="4" t="n">
        <v>100</v>
      </c>
      <c r="F12" t="b">
        <v>0</v>
      </c>
    </row>
    <row r="13">
      <c r="A13" s="7" t="inlineStr">
        <is>
          <t>2026-08-10</t>
        </is>
      </c>
      <c r="B13" s="7" t="inlineStr">
        <is>
          <t>2026-08-16</t>
        </is>
      </c>
      <c r="C13" t="n">
        <v>18</v>
      </c>
      <c r="D13" t="n">
        <v>3</v>
      </c>
      <c r="E13" s="4" t="n">
        <v>16.7</v>
      </c>
      <c r="F13" t="b">
        <v>1</v>
      </c>
    </row>
    <row r="14">
      <c r="A14" s="7" t="inlineStr">
        <is>
          <t>2026-08-17</t>
        </is>
      </c>
      <c r="B14" s="7" t="inlineStr">
        <is>
          <t>2026-08-23</t>
        </is>
      </c>
      <c r="C14" t="n">
        <v>18</v>
      </c>
      <c r="D14" t="n">
        <v>17</v>
      </c>
      <c r="E14" s="4" t="n">
        <v>94.40000000000001</v>
      </c>
      <c r="F14" t="b">
        <v>0</v>
      </c>
    </row>
    <row r="15">
      <c r="A15" s="7" t="inlineStr">
        <is>
          <t>2026-08-24</t>
        </is>
      </c>
      <c r="B15" s="7" t="inlineStr">
        <is>
          <t>2026-08-30</t>
        </is>
      </c>
      <c r="C15" t="n">
        <v>17</v>
      </c>
      <c r="D15" t="n">
        <v>16</v>
      </c>
      <c r="E15" s="4" t="n">
        <v>94.09999999999999</v>
      </c>
      <c r="F15" t="b">
        <v>0</v>
      </c>
    </row>
    <row r="16">
      <c r="A16" s="7" t="inlineStr">
        <is>
          <t>2026-08-31</t>
        </is>
      </c>
      <c r="B16" s="7" t="inlineStr">
        <is>
          <t>2026-09-06</t>
        </is>
      </c>
      <c r="C16" t="n">
        <v>17</v>
      </c>
      <c r="D16" t="n">
        <v>13</v>
      </c>
      <c r="E16" s="4" t="n">
        <v>76.5</v>
      </c>
      <c r="F16" t="b">
        <v>0</v>
      </c>
    </row>
    <row r="18">
      <c r="A18" s="1" t="inlineStr">
        <is>
          <t>Data notes</t>
        </is>
      </c>
    </row>
    <row r="19" ht="46" customHeight="1">
      <c r="A19" s="9" t="inlineStr">
        <is>
          <t>Week of 2026-08-10: 16.7% of active engagements filed time, below the 60% coverage floor. This week is a filing artifact. It is excluded from every run rate and projection in this workbook, and delivery for the week cannot be measured from the data.</t>
        </is>
      </c>
    </row>
    <row r="21">
      <c r="A21" s="1" t="inlineStr">
        <is>
          <t>Projections reported with low confidence</t>
        </is>
      </c>
    </row>
    <row r="22">
      <c r="A22" s="6" t="inlineStr">
        <is>
          <t>engagement_id</t>
        </is>
      </c>
      <c r="B22" s="6" t="inlineStr">
        <is>
          <t>projection_confidence</t>
        </is>
      </c>
      <c r="C22" s="6" t="inlineStr">
        <is>
          <t>confidence_reason</t>
        </is>
      </c>
    </row>
    <row r="23">
      <c r="A23" t="n">
        <v>25</v>
      </c>
      <c r="B23" t="inlineStr">
        <is>
          <t>low</t>
        </is>
      </c>
      <c r="C23" t="inlineStr">
        <is>
          <t>2 of the trailing 4 readable weeks have no time logged against this engagement</t>
        </is>
      </c>
    </row>
  </sheetData>
  <mergeCells count="1"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2026-08-24T01:48:45Z</dcterms:created>
  <dcterms:modified xmlns:dcterms="http://purl.org/dc/terms/" xmlns:xsi="http://www.w3.org/2001/XMLSchema-instance" xsi:type="dcterms:W3CDTF">2026-08-24T01:48:45Z</dcterms:modified>
</cp:coreProperties>
</file>