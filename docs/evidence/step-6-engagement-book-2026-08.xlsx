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gagements" sheetId="2" state="visible" r:id="rId2"/>
    <sheet name="Time Detail" sheetId="3" state="visible" r:id="rId3"/>
    <sheet name="Exceptions" sheetId="4" state="visible" r:id="rId4"/>
    <sheet name="Data 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>
      <c r="A1" s="1" t="inlineStr">
        <is>
          <t>Delivery and margin review</t>
        </is>
      </c>
    </row>
    <row r="2">
      <c r="A2" t="inlineStr">
        <is>
          <t>Period</t>
        </is>
      </c>
      <c r="B2" t="inlineStr">
        <is>
          <t>2026-08</t>
        </is>
      </c>
    </row>
    <row r="3">
      <c r="A3" t="inlineStr">
        <is>
          <t>Run id</t>
        </is>
      </c>
      <c r="B3" t="inlineStr">
        <is>
          <t>pack-check-seed-42</t>
        </is>
      </c>
    </row>
    <row r="4">
      <c r="A4" t="inlineStr">
        <is>
          <t>Scoring model version</t>
        </is>
      </c>
      <c r="B4" t="inlineStr">
        <is>
          <t>v1.0</t>
        </is>
      </c>
    </row>
    <row r="6">
      <c r="A6" s="1" t="inlineStr">
        <is>
          <t>Portfolio</t>
        </is>
      </c>
    </row>
    <row r="7">
      <c r="A7" t="inlineStr">
        <is>
          <t>Engagements in the book</t>
        </is>
      </c>
      <c r="B7">
        <f>COUNT(Engagements!A2:A19)</f>
        <v/>
      </c>
    </row>
    <row r="8">
      <c r="A8" t="inlineStr">
        <is>
          <t>Examined in detail</t>
        </is>
      </c>
      <c r="B8">
        <f>COUNTIF(Engagements!T2:T19,"yes")</f>
        <v/>
      </c>
    </row>
    <row r="9">
      <c r="A9" t="inlineStr">
        <is>
          <t>Ceiling hours</t>
        </is>
      </c>
      <c r="B9">
        <f>SUM(Engagements!J2:J19)</f>
        <v/>
      </c>
    </row>
    <row r="10">
      <c r="A10" t="inlineStr">
        <is>
          <t>Hours to date</t>
        </is>
      </c>
      <c r="B10">
        <f>SUM(Engagements!K2:K19)</f>
        <v/>
      </c>
    </row>
    <row r="11">
      <c r="A11" t="inlineStr">
        <is>
          <t>Ceiling amount</t>
        </is>
      </c>
      <c r="B11">
        <f>SUM(Engagements!M2:M19)</f>
        <v/>
      </c>
    </row>
    <row r="12">
      <c r="A12" t="inlineStr">
        <is>
          <t>Over their ceiling</t>
        </is>
      </c>
      <c r="B12">
        <f>COUNTIF(Engagements!L2:L19,"&gt;100")</f>
        <v/>
      </c>
    </row>
    <row r="13">
      <c r="A13" t="inlineStr">
        <is>
          <t>Above 70% burn</t>
        </is>
      </c>
      <c r="B13">
        <f>COUNTIF(Engagements!L2:L19,"&gt;70")</f>
        <v/>
      </c>
    </row>
    <row r="14">
      <c r="A14" t="inlineStr">
        <is>
          <t>Not in the green band</t>
        </is>
      </c>
      <c r="B14">
        <f>COUNTIF(Engagements!Q2:Q19,"&lt;&gt;green")</f>
        <v/>
      </c>
    </row>
    <row r="15">
      <c r="A15" t="inlineStr">
        <is>
          <t>Above 70% person concentration</t>
        </is>
      </c>
      <c r="B15">
        <f>COUNTIF(Engagements!N2:N19,"&gt;70")</f>
        <v/>
      </c>
    </row>
    <row r="16">
      <c r="A16" t="inlineStr">
        <is>
          <t>Projections reported low confidence</t>
        </is>
      </c>
      <c r="B16">
        <f>COUNTIF(Engagements!AA2:AA19,"low")</f>
        <v/>
      </c>
    </row>
    <row r="17">
      <c r="A17" t="inlineStr">
        <is>
          <t>Exceptions raised</t>
        </is>
      </c>
      <c r="B17">
        <f>COUNT(Exceptions!A2:A200)</f>
        <v/>
      </c>
    </row>
    <row r="19">
      <c r="A19" s="1" t="inlineStr">
        <is>
          <t>Reporting coverage</t>
        </is>
      </c>
    </row>
    <row r="20">
      <c r="A20" t="inlineStr">
        <is>
          <t>Weeks below the coverage floor</t>
        </is>
      </c>
      <c r="B20" t="n">
        <v>1</v>
      </c>
    </row>
    <row r="21">
      <c r="A21" t="inlineStr">
        <is>
          <t>Lowest weekly reporting coverage</t>
        </is>
      </c>
      <c r="B21" t="n">
        <v>16.7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17" customWidth="1" min="9" max="9"/>
    <col width="16" customWidth="1" min="10" max="10"/>
    <col width="16" customWidth="1" min="11" max="11"/>
    <col width="11" customWidth="1" min="12" max="12"/>
    <col width="17" customWidth="1" min="13" max="13"/>
    <col width="26" customWidth="1" min="14" max="14"/>
    <col width="15" customWidth="1" min="15" max="15"/>
    <col width="15" customWidth="1" min="16" max="16"/>
    <col width="14" customWidth="1" min="17" max="17"/>
    <col width="26" customWidth="1" min="18" max="18"/>
    <col width="18" customWidth="1" min="19" max="19"/>
    <col width="11" customWidth="1" min="20" max="20"/>
    <col width="18" customWidth="1" min="21" max="21"/>
    <col width="22" customWidth="1" min="22" max="22"/>
    <col width="16" customWidth="1" min="23" max="23"/>
    <col width="22" customWidth="1" min="24" max="24"/>
    <col width="24" customWidth="1" min="25" max="25"/>
    <col width="24" customWidth="1" min="26" max="26"/>
    <col width="24" customWidth="1" min="27" max="27"/>
    <col width="52" customWidth="1" min="28" max="28"/>
    <col width="26" customWidth="1" min="29" max="29"/>
    <col width="24" customWidth="1" min="30" max="30"/>
    <col width="17" customWidth="1" min="31" max="31"/>
    <col width="11" customWidth="1" min="32" max="32"/>
    <col width="11" customWidth="1" min="33" max="33"/>
    <col width="15" customWidth="1" min="34" max="34"/>
    <col width="15" customWidth="1" min="35" max="35"/>
    <col width="25" customWidth="1" min="36" max="36"/>
    <col width="13" customWidth="1" min="37" max="37"/>
    <col width="18" customWidth="1" min="38" max="38"/>
    <col width="11" customWidth="1" min="39" max="39"/>
    <col width="20" customWidth="1" min="40" max="40"/>
    <col width="26" customWidth="1" min="41" max="41"/>
  </cols>
  <sheetData>
    <row r="1">
      <c r="A1" s="2" t="inlineStr">
        <is>
          <t>engagement_id</t>
        </is>
      </c>
      <c r="B1" s="2" t="inlineStr">
        <is>
          <t>client_name</t>
        </is>
      </c>
      <c r="C1" s="2" t="inlineStr">
        <is>
          <t>name</t>
        </is>
      </c>
      <c r="D1" s="2" t="inlineStr">
        <is>
          <t>sow_ref</t>
        </is>
      </c>
      <c r="E1" s="2" t="inlineStr">
        <is>
          <t>fee_type</t>
        </is>
      </c>
      <c r="F1" s="2" t="inlineStr">
        <is>
          <t>status</t>
        </is>
      </c>
      <c r="G1" s="2" t="inlineStr">
        <is>
          <t>start_date</t>
        </is>
      </c>
      <c r="H1" s="2" t="inlineStr">
        <is>
          <t>end_date</t>
        </is>
      </c>
      <c r="I1" s="2" t="inlineStr">
        <is>
          <t>days_remaining</t>
        </is>
      </c>
      <c r="J1" s="2" t="inlineStr">
        <is>
          <t>ceiling_hours</t>
        </is>
      </c>
      <c r="K1" s="2" t="inlineStr">
        <is>
          <t>hours_to_date</t>
        </is>
      </c>
      <c r="L1" s="2" t="inlineStr">
        <is>
          <t>burn_pct</t>
        </is>
      </c>
      <c r="M1" s="2" t="inlineStr">
        <is>
          <t>ceiling_amount</t>
        </is>
      </c>
      <c r="N1" s="2" t="inlineStr">
        <is>
          <t>person_concentration_pct</t>
        </is>
      </c>
      <c r="O1" s="2" t="inlineStr">
        <is>
          <t>people_count</t>
        </is>
      </c>
      <c r="P1" s="2" t="inlineStr">
        <is>
          <t>health_score</t>
        </is>
      </c>
      <c r="Q1" s="2" t="inlineStr">
        <is>
          <t>health_band</t>
        </is>
      </c>
      <c r="R1" s="2" t="inlineStr">
        <is>
          <t>score_delta_vs_prior_period</t>
        </is>
      </c>
      <c r="S1" s="2" t="inlineStr">
        <is>
          <t>top_risk_factor</t>
        </is>
      </c>
      <c r="T1" s="2" t="inlineStr">
        <is>
          <t>examined</t>
        </is>
      </c>
      <c r="U1" s="2" t="inlineStr">
        <is>
          <t>hours_remaining</t>
        </is>
      </c>
      <c r="V1" s="2" t="inlineStr">
        <is>
          <t>weekly_run_rate_4wk</t>
        </is>
      </c>
      <c r="W1" s="2" t="inlineStr">
        <is>
          <t>weeks_counted</t>
        </is>
      </c>
      <c r="X1" s="2" t="inlineStr">
        <is>
          <t>weeks_with_no_hours</t>
        </is>
      </c>
      <c r="Y1" s="2" t="inlineStr">
        <is>
          <t>projected_total_hours</t>
        </is>
      </c>
      <c r="Z1" s="2" t="inlineStr">
        <is>
          <t>projected_overrun_pct</t>
        </is>
      </c>
      <c r="AA1" s="2" t="inlineStr">
        <is>
          <t>projection_confidence</t>
        </is>
      </c>
      <c r="AB1" s="2" t="inlineStr">
        <is>
          <t>confidence_reason</t>
        </is>
      </c>
      <c r="AC1" s="2" t="inlineStr">
        <is>
          <t>run_rate_vs_baseline_pct</t>
        </is>
      </c>
      <c r="AD1" s="2" t="inlineStr">
        <is>
          <t>days_since_last_entry</t>
        </is>
      </c>
      <c r="AE1" s="2" t="inlineStr">
        <is>
          <t>late_entry_pct</t>
        </is>
      </c>
      <c r="AF1" s="2" t="inlineStr">
        <is>
          <t>invoiced</t>
        </is>
      </c>
      <c r="AG1" s="2" t="inlineStr">
        <is>
          <t>paid</t>
        </is>
      </c>
      <c r="AH1" s="2" t="inlineStr">
        <is>
          <t>wip_unbilled</t>
        </is>
      </c>
      <c r="AI1" s="2" t="inlineStr">
        <is>
          <t>cost_to_date</t>
        </is>
      </c>
      <c r="AJ1" s="2" t="inlineStr">
        <is>
          <t>billable_value_to_date</t>
        </is>
      </c>
      <c r="AK1" s="2" t="inlineStr">
        <is>
          <t>margin_pct</t>
        </is>
      </c>
      <c r="AL1" s="2" t="inlineStr">
        <is>
          <t>realisation_pct</t>
        </is>
      </c>
      <c r="AM1" s="2" t="inlineStr">
        <is>
          <t>dso_days</t>
        </is>
      </c>
      <c r="AN1" s="2" t="inlineStr">
        <is>
          <t>dso_baseline_days</t>
        </is>
      </c>
      <c r="AO1" s="2" t="inlineStr">
        <is>
          <t>payment_behaviour_change_pct</t>
        </is>
      </c>
    </row>
    <row r="2">
      <c r="A2" t="n">
        <v>2</v>
      </c>
      <c r="B2" t="inlineStr">
        <is>
          <t>Oakhaven Logistics Collective</t>
        </is>
      </c>
      <c r="C2" t="inlineStr">
        <is>
          <t>Credit Risk Migration</t>
        </is>
      </c>
      <c r="D2" t="inlineStr">
        <is>
          <t>SOW-2026-002</t>
        </is>
      </c>
      <c r="E2" t="inlineStr">
        <is>
          <t>fixed</t>
        </is>
      </c>
      <c r="F2" t="inlineStr">
        <is>
          <t>active</t>
        </is>
      </c>
      <c r="G2" t="inlineStr">
        <is>
          <t>2026-01-28</t>
        </is>
      </c>
      <c r="H2" t="inlineStr">
        <is>
          <t>2026-08-21</t>
        </is>
      </c>
      <c r="I2" t="n">
        <v>0</v>
      </c>
      <c r="J2" t="n">
        <v>1980</v>
      </c>
      <c r="K2" t="n">
        <v>575.9</v>
      </c>
      <c r="L2" t="n">
        <v>29.1</v>
      </c>
      <c r="M2" t="n">
        <v>420591.6</v>
      </c>
      <c r="N2" t="n">
        <v>55.5</v>
      </c>
      <c r="O2" t="n">
        <v>3</v>
      </c>
      <c r="P2" t="n">
        <v>99.7</v>
      </c>
      <c r="Q2" t="inlineStr">
        <is>
          <t>green</t>
        </is>
      </c>
      <c r="R2" t="n">
        <v>-0.3</v>
      </c>
      <c r="S2" t="inlineStr">
        <is>
          <t>payment_behaviour</t>
        </is>
      </c>
      <c r="T2" t="inlineStr">
        <is>
          <t>yes</t>
        </is>
      </c>
      <c r="U2" t="n">
        <v>1404.1</v>
      </c>
      <c r="V2" t="n">
        <v>17.55</v>
      </c>
      <c r="W2" t="n">
        <v>4</v>
      </c>
      <c r="X2" t="n">
        <v>0</v>
      </c>
      <c r="Y2" t="n">
        <v>575.9</v>
      </c>
      <c r="Z2" t="n">
        <v>0</v>
      </c>
      <c r="AA2" t="inlineStr">
        <is>
          <t>high</t>
        </is>
      </c>
      <c r="AB2" t="inlineStr">
        <is>
          <t>4 readable weeks with time logged in every one, 0.0% of entries filed after the period closed</t>
        </is>
      </c>
      <c r="AC2" t="n">
        <v>-32</v>
      </c>
      <c r="AD2" t="n">
        <v>0</v>
      </c>
      <c r="AE2" t="n">
        <v>0</v>
      </c>
      <c r="AF2" t="n">
        <v>280394.4</v>
      </c>
      <c r="AG2" t="n">
        <v>280394.4</v>
      </c>
      <c r="AH2" t="n">
        <v>-156504.3</v>
      </c>
      <c r="AI2" t="n">
        <v>70481.3</v>
      </c>
      <c r="AJ2" t="n">
        <v>123890.1</v>
      </c>
      <c r="AK2" t="n">
        <v>83.2</v>
      </c>
      <c r="AL2" t="n">
        <v>86.8</v>
      </c>
      <c r="AM2" t="n">
        <v>29.5</v>
      </c>
      <c r="AN2" t="n">
        <v>29</v>
      </c>
      <c r="AO2" t="n">
        <v>1.7</v>
      </c>
    </row>
    <row r="3">
      <c r="A3" t="n">
        <v>3</v>
      </c>
      <c r="B3" t="inlineStr">
        <is>
          <t>Ashcombe Health Partners</t>
        </is>
      </c>
      <c r="C3" t="inlineStr">
        <is>
          <t>Revenue Assurance Optimisation</t>
        </is>
      </c>
      <c r="D3" t="inlineStr">
        <is>
          <t>SOW-2026-003</t>
        </is>
      </c>
      <c r="E3" t="inlineStr">
        <is>
          <t>time_and_materials</t>
        </is>
      </c>
      <c r="F3" t="inlineStr">
        <is>
          <t>active</t>
        </is>
      </c>
      <c r="G3" t="inlineStr">
        <is>
          <t>2026-01-09</t>
        </is>
      </c>
      <c r="H3" t="inlineStr">
        <is>
          <t>2026-10-31</t>
        </is>
      </c>
      <c r="I3" t="n">
        <v>61</v>
      </c>
      <c r="J3" t="n">
        <v>940</v>
      </c>
      <c r="K3" t="n">
        <v>642.1</v>
      </c>
      <c r="L3" t="n">
        <v>68.3</v>
      </c>
      <c r="M3" t="n">
        <v>232180</v>
      </c>
      <c r="N3" t="n">
        <v>46.2</v>
      </c>
      <c r="O3" t="n">
        <v>3</v>
      </c>
      <c r="P3" t="n">
        <v>98.3</v>
      </c>
      <c r="Q3" t="inlineStr">
        <is>
          <t>green</t>
        </is>
      </c>
      <c r="R3" t="n">
        <v>-0.9</v>
      </c>
      <c r="S3" t="inlineStr">
        <is>
          <t>burn_trajectory</t>
        </is>
      </c>
      <c r="T3" t="inlineStr">
        <is>
          <t>no</t>
        </is>
      </c>
    </row>
    <row r="4">
      <c r="A4" t="n">
        <v>5</v>
      </c>
      <c r="B4" t="inlineStr">
        <is>
          <t>Pentland Media Group</t>
        </is>
      </c>
      <c r="C4" t="inlineStr">
        <is>
          <t>Procurement Modernisation</t>
        </is>
      </c>
      <c r="D4" t="inlineStr">
        <is>
          <t>SOW-2026-005</t>
        </is>
      </c>
      <c r="E4" t="inlineStr">
        <is>
          <t>fixed</t>
        </is>
      </c>
      <c r="F4" t="inlineStr">
        <is>
          <t>active</t>
        </is>
      </c>
      <c r="G4" t="inlineStr">
        <is>
          <t>2026-01-31</t>
        </is>
      </c>
      <c r="H4" t="inlineStr">
        <is>
          <t>2026-10-10</t>
        </is>
      </c>
      <c r="I4" t="n">
        <v>40</v>
      </c>
      <c r="J4" t="n">
        <v>2690</v>
      </c>
      <c r="K4" t="n">
        <v>1751.5</v>
      </c>
      <c r="L4" t="n">
        <v>65.09999999999999</v>
      </c>
      <c r="M4" t="n">
        <v>133038.43</v>
      </c>
      <c r="N4" t="n">
        <v>24.8</v>
      </c>
      <c r="O4" t="n">
        <v>5</v>
      </c>
      <c r="P4" t="n">
        <v>69</v>
      </c>
      <c r="Q4" t="inlineStr">
        <is>
          <t>amber</t>
        </is>
      </c>
      <c r="R4" t="n">
        <v>-11.2</v>
      </c>
      <c r="S4" t="inlineStr">
        <is>
          <t>margin</t>
        </is>
      </c>
      <c r="T4" t="inlineStr">
        <is>
          <t>yes</t>
        </is>
      </c>
      <c r="U4" t="n">
        <v>938.5</v>
      </c>
      <c r="V4" t="n">
        <v>68.88</v>
      </c>
      <c r="W4" t="n">
        <v>4</v>
      </c>
      <c r="X4" t="n">
        <v>0</v>
      </c>
      <c r="Y4" t="n">
        <v>2145.1</v>
      </c>
      <c r="Z4" t="n">
        <v>0</v>
      </c>
      <c r="AA4" t="inlineStr">
        <is>
          <t>high</t>
        </is>
      </c>
      <c r="AB4" t="inlineStr">
        <is>
          <t>4 readable weeks with time logged in every one, 3.4% of entries filed after the period closed</t>
        </is>
      </c>
      <c r="AC4" t="n">
        <v>37.2</v>
      </c>
      <c r="AD4" t="n">
        <v>0</v>
      </c>
      <c r="AE4" t="n">
        <v>3.4</v>
      </c>
      <c r="AF4" t="n">
        <v>83149.02</v>
      </c>
      <c r="AG4" t="n">
        <v>49889.41</v>
      </c>
      <c r="AH4" t="n">
        <v>247112.18</v>
      </c>
      <c r="AI4" t="n">
        <v>156515.8</v>
      </c>
      <c r="AJ4" t="n">
        <v>330261.2</v>
      </c>
      <c r="AK4" t="n">
        <v>-17.6</v>
      </c>
      <c r="AL4" t="n">
        <v>87</v>
      </c>
      <c r="AM4" t="n">
        <v>44</v>
      </c>
      <c r="AN4" t="n">
        <v>41.1</v>
      </c>
      <c r="AO4" t="n">
        <v>6.9</v>
      </c>
    </row>
    <row r="5">
      <c r="A5" t="n">
        <v>7</v>
      </c>
      <c r="B5" t="inlineStr">
        <is>
          <t>Braemar Retail Corporation</t>
        </is>
      </c>
      <c r="C5" t="inlineStr">
        <is>
          <t>Revenue Assurance Discovery</t>
        </is>
      </c>
      <c r="D5" t="inlineStr">
        <is>
          <t>SOW-2026-007</t>
        </is>
      </c>
      <c r="E5" t="inlineStr">
        <is>
          <t>time_and_materials</t>
        </is>
      </c>
      <c r="F5" t="inlineStr">
        <is>
          <t>active</t>
        </is>
      </c>
      <c r="G5" t="inlineStr">
        <is>
          <t>2026-02-19</t>
        </is>
      </c>
      <c r="H5" t="inlineStr">
        <is>
          <t>2027-02-27</t>
        </is>
      </c>
      <c r="I5" t="n">
        <v>180</v>
      </c>
      <c r="J5" t="n">
        <v>1480</v>
      </c>
      <c r="K5" t="n">
        <v>672.5</v>
      </c>
      <c r="L5" t="n">
        <v>45.4</v>
      </c>
      <c r="M5" t="n">
        <v>393680</v>
      </c>
      <c r="N5" t="n">
        <v>45</v>
      </c>
      <c r="O5" t="n">
        <v>3</v>
      </c>
      <c r="P5" t="n">
        <v>100</v>
      </c>
      <c r="Q5" t="inlineStr">
        <is>
          <t>green</t>
        </is>
      </c>
      <c r="R5" t="n">
        <v>31.2</v>
      </c>
      <c r="T5" t="inlineStr">
        <is>
          <t>no</t>
        </is>
      </c>
    </row>
    <row r="6">
      <c r="A6" t="n">
        <v>8</v>
      </c>
      <c r="B6" t="inlineStr">
        <is>
          <t>Braemar Retail Corporation</t>
        </is>
      </c>
      <c r="C6" t="inlineStr">
        <is>
          <t>Regulatory Reporting Programme</t>
        </is>
      </c>
      <c r="D6" t="inlineStr">
        <is>
          <t>SOW-2025-008</t>
        </is>
      </c>
      <c r="E6" t="inlineStr">
        <is>
          <t>fixed</t>
        </is>
      </c>
      <c r="F6" t="inlineStr">
        <is>
          <t>active</t>
        </is>
      </c>
      <c r="G6" t="inlineStr">
        <is>
          <t>2025-11-16</t>
        </is>
      </c>
      <c r="H6" t="inlineStr">
        <is>
          <t>2027-05-12</t>
        </is>
      </c>
      <c r="I6" t="n">
        <v>254</v>
      </c>
      <c r="J6" t="n">
        <v>1020</v>
      </c>
      <c r="K6" t="n">
        <v>1336.4</v>
      </c>
      <c r="L6" t="n">
        <v>131</v>
      </c>
      <c r="M6" t="n">
        <v>274176</v>
      </c>
      <c r="N6" t="n">
        <v>48.9</v>
      </c>
      <c r="O6" t="n">
        <v>4</v>
      </c>
      <c r="P6" t="n">
        <v>53.5</v>
      </c>
      <c r="Q6" t="inlineStr">
        <is>
          <t>amber</t>
        </is>
      </c>
      <c r="R6" t="n">
        <v>-3.8</v>
      </c>
      <c r="S6" t="inlineStr">
        <is>
          <t>burn_trajectory</t>
        </is>
      </c>
      <c r="T6" t="inlineStr">
        <is>
          <t>yes</t>
        </is>
      </c>
      <c r="U6" t="n">
        <v>-316.4</v>
      </c>
      <c r="V6" t="n">
        <v>32.15</v>
      </c>
      <c r="W6" t="n">
        <v>4</v>
      </c>
      <c r="X6" t="n">
        <v>0</v>
      </c>
      <c r="Y6" t="n">
        <v>2503</v>
      </c>
      <c r="Z6" t="n">
        <v>145.4</v>
      </c>
      <c r="AA6" t="inlineStr">
        <is>
          <t>high</t>
        </is>
      </c>
      <c r="AB6" t="inlineStr">
        <is>
          <t>4 readable weeks with time logged in every one, 2.1% of entries filed after the period closed</t>
        </is>
      </c>
      <c r="AC6" t="n">
        <v>-1.7</v>
      </c>
      <c r="AD6" t="n">
        <v>3</v>
      </c>
      <c r="AE6" t="n">
        <v>2.1</v>
      </c>
      <c r="AF6" t="n">
        <v>42180.92</v>
      </c>
      <c r="AG6" t="n">
        <v>42180.92</v>
      </c>
      <c r="AH6" t="n">
        <v>351264.68</v>
      </c>
      <c r="AI6" t="n">
        <v>206372.8</v>
      </c>
      <c r="AJ6" t="n">
        <v>393445.6</v>
      </c>
      <c r="AK6" t="n">
        <v>24.7</v>
      </c>
      <c r="AL6" t="n">
        <v>90</v>
      </c>
      <c r="AM6" t="n">
        <v>24.3</v>
      </c>
      <c r="AN6" t="n">
        <v>25.3</v>
      </c>
      <c r="AO6" t="n">
        <v>-4</v>
      </c>
    </row>
    <row r="7">
      <c r="A7" t="n">
        <v>9</v>
      </c>
      <c r="B7" t="inlineStr">
        <is>
          <t>Northfield Municipal Group</t>
        </is>
      </c>
      <c r="C7" t="inlineStr">
        <is>
          <t>Pricing Modernisation</t>
        </is>
      </c>
      <c r="D7" t="inlineStr">
        <is>
          <t>SOW-2026-009</t>
        </is>
      </c>
      <c r="E7" t="inlineStr">
        <is>
          <t>fixed</t>
        </is>
      </c>
      <c r="F7" t="inlineStr">
        <is>
          <t>active</t>
        </is>
      </c>
      <c r="G7" t="inlineStr">
        <is>
          <t>2026-01-23</t>
        </is>
      </c>
      <c r="H7" t="inlineStr">
        <is>
          <t>2026-11-10</t>
        </is>
      </c>
      <c r="I7" t="n">
        <v>71</v>
      </c>
      <c r="J7" t="n">
        <v>780</v>
      </c>
      <c r="K7" t="n">
        <v>971.2</v>
      </c>
      <c r="L7" t="n">
        <v>124.5</v>
      </c>
      <c r="M7" t="n">
        <v>241737.6</v>
      </c>
      <c r="N7" t="n">
        <v>54.1</v>
      </c>
      <c r="O7" t="n">
        <v>2</v>
      </c>
      <c r="P7" t="n">
        <v>59.5</v>
      </c>
      <c r="Q7" t="inlineStr">
        <is>
          <t>amber</t>
        </is>
      </c>
      <c r="R7" t="n">
        <v>-5.5</v>
      </c>
      <c r="S7" t="inlineStr">
        <is>
          <t>burn_trajectory</t>
        </is>
      </c>
      <c r="T7" t="inlineStr">
        <is>
          <t>yes</t>
        </is>
      </c>
      <c r="U7" t="n">
        <v>-191.2</v>
      </c>
      <c r="V7" t="n">
        <v>41.73</v>
      </c>
      <c r="W7" t="n">
        <v>4</v>
      </c>
      <c r="X7" t="n">
        <v>0</v>
      </c>
      <c r="Y7" t="n">
        <v>1394.4</v>
      </c>
      <c r="Z7" t="n">
        <v>78.8</v>
      </c>
      <c r="AA7" t="inlineStr">
        <is>
          <t>high</t>
        </is>
      </c>
      <c r="AB7" t="inlineStr">
        <is>
          <t>4 readable weeks with time logged in every one, 3.1% of entries filed after the period closed</t>
        </is>
      </c>
      <c r="AC7" t="n">
        <v>12.5</v>
      </c>
      <c r="AD7" t="n">
        <v>0</v>
      </c>
      <c r="AE7" t="n">
        <v>3.1</v>
      </c>
      <c r="AF7" t="n">
        <v>136634.29</v>
      </c>
      <c r="AG7" t="n">
        <v>136634.29</v>
      </c>
      <c r="AH7" t="n">
        <v>172915.71</v>
      </c>
      <c r="AI7" t="n">
        <v>160725.6</v>
      </c>
      <c r="AJ7" t="n">
        <v>309550</v>
      </c>
      <c r="AK7" t="n">
        <v>33.5</v>
      </c>
      <c r="AL7" t="n">
        <v>87</v>
      </c>
      <c r="AM7" t="n">
        <v>32.8</v>
      </c>
      <c r="AN7" t="n">
        <v>31.3</v>
      </c>
      <c r="AO7" t="n">
        <v>4.5</v>
      </c>
    </row>
    <row r="8">
      <c r="A8" t="n">
        <v>11</v>
      </c>
      <c r="B8" t="inlineStr">
        <is>
          <t>Lowmarsh Retail Partners</t>
        </is>
      </c>
      <c r="C8" t="inlineStr">
        <is>
          <t>Inventory Modernisation</t>
        </is>
      </c>
      <c r="D8" t="inlineStr">
        <is>
          <t>SOW-2025-011</t>
        </is>
      </c>
      <c r="E8" t="inlineStr">
        <is>
          <t>fixed</t>
        </is>
      </c>
      <c r="F8" t="inlineStr">
        <is>
          <t>active</t>
        </is>
      </c>
      <c r="G8" t="inlineStr">
        <is>
          <t>2025-10-11</t>
        </is>
      </c>
      <c r="H8" t="inlineStr">
        <is>
          <t>2027-05-02</t>
        </is>
      </c>
      <c r="I8" t="n">
        <v>244</v>
      </c>
      <c r="J8" t="n">
        <v>4940</v>
      </c>
      <c r="K8" t="n">
        <v>2821</v>
      </c>
      <c r="L8" t="n">
        <v>57.1</v>
      </c>
      <c r="M8" t="n">
        <v>1332713.2</v>
      </c>
      <c r="N8" t="n">
        <v>44.7</v>
      </c>
      <c r="O8" t="n">
        <v>3</v>
      </c>
      <c r="P8" t="n">
        <v>73.09999999999999</v>
      </c>
      <c r="Q8" t="inlineStr">
        <is>
          <t>green</t>
        </is>
      </c>
      <c r="R8" t="n">
        <v>-6.6</v>
      </c>
      <c r="S8" t="inlineStr">
        <is>
          <t>burn_trajectory</t>
        </is>
      </c>
      <c r="T8" t="inlineStr">
        <is>
          <t>no</t>
        </is>
      </c>
    </row>
    <row r="9">
      <c r="A9" t="n">
        <v>12</v>
      </c>
      <c r="B9" t="inlineStr">
        <is>
          <t>Stonebridge Energy Group</t>
        </is>
      </c>
      <c r="C9" t="inlineStr">
        <is>
          <t>Credit Risk Programme</t>
        </is>
      </c>
      <c r="D9" t="inlineStr">
        <is>
          <t>SOW-2026-012</t>
        </is>
      </c>
      <c r="E9" t="inlineStr">
        <is>
          <t>time_and_materials</t>
        </is>
      </c>
      <c r="F9" t="inlineStr">
        <is>
          <t>active</t>
        </is>
      </c>
      <c r="G9" t="inlineStr">
        <is>
          <t>2026-01-14</t>
        </is>
      </c>
      <c r="H9" t="inlineStr">
        <is>
          <t>2026-09-24</t>
        </is>
      </c>
      <c r="I9" t="n">
        <v>24</v>
      </c>
      <c r="J9" t="n">
        <v>1480</v>
      </c>
      <c r="K9" t="n">
        <v>998.4</v>
      </c>
      <c r="L9" t="n">
        <v>67.5</v>
      </c>
      <c r="M9" t="n">
        <v>478040</v>
      </c>
      <c r="N9" t="n">
        <v>85.40000000000001</v>
      </c>
      <c r="O9" t="n">
        <v>2</v>
      </c>
      <c r="P9" t="n">
        <v>99.90000000000001</v>
      </c>
      <c r="Q9" t="inlineStr">
        <is>
          <t>green</t>
        </is>
      </c>
      <c r="R9" t="n">
        <v>0.4</v>
      </c>
      <c r="S9" t="inlineStr">
        <is>
          <t>payment_behaviour</t>
        </is>
      </c>
      <c r="T9" t="inlineStr">
        <is>
          <t>yes</t>
        </is>
      </c>
      <c r="U9" t="n">
        <v>481.6</v>
      </c>
      <c r="V9" t="n">
        <v>34.03</v>
      </c>
      <c r="W9" t="n">
        <v>4</v>
      </c>
      <c r="X9" t="n">
        <v>0</v>
      </c>
      <c r="Y9" t="n">
        <v>1115.1</v>
      </c>
      <c r="Z9" t="n">
        <v>0</v>
      </c>
      <c r="AA9" t="inlineStr">
        <is>
          <t>high</t>
        </is>
      </c>
      <c r="AB9" t="inlineStr">
        <is>
          <t>4 readable weeks with time logged in every one, 9.9% of entries filed after the period closed</t>
        </is>
      </c>
      <c r="AC9" t="n">
        <v>1.3</v>
      </c>
      <c r="AD9" t="n">
        <v>0</v>
      </c>
      <c r="AE9" t="n">
        <v>9.9</v>
      </c>
      <c r="AF9" t="n">
        <v>261087.5</v>
      </c>
      <c r="AG9" t="n">
        <v>207099.5</v>
      </c>
      <c r="AH9" t="n">
        <v>21938.5</v>
      </c>
      <c r="AI9" t="n">
        <v>138190.2</v>
      </c>
      <c r="AJ9" t="n">
        <v>283026</v>
      </c>
      <c r="AK9" t="n">
        <v>51.2</v>
      </c>
      <c r="AL9" t="n">
        <v>88.7</v>
      </c>
      <c r="AM9" t="n">
        <v>39.8</v>
      </c>
      <c r="AN9" t="n">
        <v>39.7</v>
      </c>
      <c r="AO9" t="n">
        <v>0.4</v>
      </c>
    </row>
    <row r="10">
      <c r="A10" t="n">
        <v>13</v>
      </c>
      <c r="B10" t="inlineStr">
        <is>
          <t>Ashcombe Health Partners</t>
        </is>
      </c>
      <c r="C10" t="inlineStr">
        <is>
          <t>Payments Assessment</t>
        </is>
      </c>
      <c r="D10" t="inlineStr">
        <is>
          <t>SOW-2025-013</t>
        </is>
      </c>
      <c r="E10" t="inlineStr">
        <is>
          <t>time_and_materials</t>
        </is>
      </c>
      <c r="F10" t="inlineStr">
        <is>
          <t>active</t>
        </is>
      </c>
      <c r="G10" t="inlineStr">
        <is>
          <t>2025-09-28</t>
        </is>
      </c>
      <c r="H10" t="inlineStr">
        <is>
          <t>2026-12-08</t>
        </is>
      </c>
      <c r="I10" t="n">
        <v>99</v>
      </c>
      <c r="J10" t="n">
        <v>3200</v>
      </c>
      <c r="K10" t="n">
        <v>2097.5</v>
      </c>
      <c r="L10" t="n">
        <v>65.5</v>
      </c>
      <c r="M10" t="n">
        <v>812800</v>
      </c>
      <c r="N10" t="n">
        <v>63.6</v>
      </c>
      <c r="O10" t="n">
        <v>3</v>
      </c>
      <c r="P10" t="n">
        <v>89.09999999999999</v>
      </c>
      <c r="Q10" t="inlineStr">
        <is>
          <t>green</t>
        </is>
      </c>
      <c r="R10" t="n">
        <v>-0.2</v>
      </c>
      <c r="S10" t="inlineStr">
        <is>
          <t>burn_trajectory</t>
        </is>
      </c>
      <c r="T10" t="inlineStr">
        <is>
          <t>no</t>
        </is>
      </c>
    </row>
    <row r="11">
      <c r="A11" t="n">
        <v>15</v>
      </c>
      <c r="B11" t="inlineStr">
        <is>
          <t>Ashcombe Health Partners</t>
        </is>
      </c>
      <c r="C11" t="inlineStr">
        <is>
          <t>Workforce Planning Programme</t>
        </is>
      </c>
      <c r="D11" t="inlineStr">
        <is>
          <t>SOW-2025-015</t>
        </is>
      </c>
      <c r="E11" t="inlineStr">
        <is>
          <t>time_and_materials</t>
        </is>
      </c>
      <c r="F11" t="inlineStr">
        <is>
          <t>active</t>
        </is>
      </c>
      <c r="G11" t="inlineStr">
        <is>
          <t>2025-11-04</t>
        </is>
      </c>
      <c r="H11" t="inlineStr">
        <is>
          <t>2026-10-16</t>
        </is>
      </c>
      <c r="I11" t="n">
        <v>46</v>
      </c>
      <c r="J11" t="n">
        <v>3540</v>
      </c>
      <c r="K11" t="n">
        <v>2694.5</v>
      </c>
      <c r="L11" t="n">
        <v>76.09999999999999</v>
      </c>
      <c r="M11" t="n">
        <v>1069080</v>
      </c>
      <c r="N11" t="n">
        <v>50.2</v>
      </c>
      <c r="O11" t="n">
        <v>4</v>
      </c>
      <c r="P11" t="n">
        <v>94.40000000000001</v>
      </c>
      <c r="Q11" t="inlineStr">
        <is>
          <t>green</t>
        </is>
      </c>
      <c r="R11" t="n">
        <v>10.2</v>
      </c>
      <c r="S11" t="inlineStr">
        <is>
          <t>burn_trajectory</t>
        </is>
      </c>
      <c r="T11" t="inlineStr">
        <is>
          <t>yes</t>
        </is>
      </c>
      <c r="U11" t="n">
        <v>845.5</v>
      </c>
      <c r="V11" t="n">
        <v>71.18000000000001</v>
      </c>
      <c r="W11" t="n">
        <v>4</v>
      </c>
      <c r="X11" t="n">
        <v>0</v>
      </c>
      <c r="Y11" t="n">
        <v>3162.2</v>
      </c>
      <c r="Z11" t="n">
        <v>0</v>
      </c>
      <c r="AA11" t="inlineStr">
        <is>
          <t>high</t>
        </is>
      </c>
      <c r="AB11" t="inlineStr">
        <is>
          <t>4 readable weeks with time logged in every one, 6.5% of entries filed after the period closed</t>
        </is>
      </c>
      <c r="AC11" t="n">
        <v>-21.2</v>
      </c>
      <c r="AD11" t="n">
        <v>0</v>
      </c>
      <c r="AE11" t="n">
        <v>6.5</v>
      </c>
      <c r="AF11" t="n">
        <v>453254.3</v>
      </c>
      <c r="AG11" t="n">
        <v>372346</v>
      </c>
      <c r="AH11" t="n">
        <v>98811.10000000001</v>
      </c>
      <c r="AI11" t="n">
        <v>272353.4</v>
      </c>
      <c r="AJ11" t="n">
        <v>552065.4</v>
      </c>
      <c r="AK11" t="n">
        <v>50.7</v>
      </c>
      <c r="AL11" t="n">
        <v>88.8</v>
      </c>
      <c r="AM11" t="n">
        <v>36.7</v>
      </c>
      <c r="AN11" t="n">
        <v>35.5</v>
      </c>
      <c r="AO11" t="n">
        <v>3.4</v>
      </c>
    </row>
    <row r="12">
      <c r="A12" t="n">
        <v>16</v>
      </c>
      <c r="B12" t="inlineStr">
        <is>
          <t>Braemar Retail Corporation</t>
        </is>
      </c>
      <c r="C12" t="inlineStr">
        <is>
          <t>Field Operations Rollout</t>
        </is>
      </c>
      <c r="D12" t="inlineStr">
        <is>
          <t>SOW-2025-016</t>
        </is>
      </c>
      <c r="E12" t="inlineStr">
        <is>
          <t>time_and_materials</t>
        </is>
      </c>
      <c r="F12" t="inlineStr">
        <is>
          <t>active</t>
        </is>
      </c>
      <c r="G12" t="inlineStr">
        <is>
          <t>2025-09-01</t>
        </is>
      </c>
      <c r="H12" t="inlineStr">
        <is>
          <t>2027-03-09</t>
        </is>
      </c>
      <c r="I12" t="n">
        <v>190</v>
      </c>
      <c r="J12" t="n">
        <v>7980</v>
      </c>
      <c r="K12" t="n">
        <v>2552.1</v>
      </c>
      <c r="L12" t="n">
        <v>32</v>
      </c>
      <c r="M12" t="n">
        <v>1955100</v>
      </c>
      <c r="N12" t="n">
        <v>41.7</v>
      </c>
      <c r="O12" t="n">
        <v>3</v>
      </c>
      <c r="P12" t="n">
        <v>100</v>
      </c>
      <c r="Q12" t="inlineStr">
        <is>
          <t>green</t>
        </is>
      </c>
      <c r="R12" t="n">
        <v>0.2</v>
      </c>
      <c r="T12" t="inlineStr">
        <is>
          <t>no</t>
        </is>
      </c>
    </row>
    <row r="13">
      <c r="A13" t="n">
        <v>18</v>
      </c>
      <c r="B13" t="inlineStr">
        <is>
          <t>Thornbury Retail Partners</t>
        </is>
      </c>
      <c r="C13" t="inlineStr">
        <is>
          <t>Payments Modernisation</t>
        </is>
      </c>
      <c r="D13" t="inlineStr">
        <is>
          <t>SOW-2025-018</t>
        </is>
      </c>
      <c r="E13" t="inlineStr">
        <is>
          <t>fixed</t>
        </is>
      </c>
      <c r="F13" t="inlineStr">
        <is>
          <t>active</t>
        </is>
      </c>
      <c r="G13" t="inlineStr">
        <is>
          <t>2025-12-04</t>
        </is>
      </c>
      <c r="H13" t="inlineStr">
        <is>
          <t>2026-12-04</t>
        </is>
      </c>
      <c r="I13" t="n">
        <v>95</v>
      </c>
      <c r="J13" t="n">
        <v>820</v>
      </c>
      <c r="K13" t="n">
        <v>564.5</v>
      </c>
      <c r="L13" t="n">
        <v>68.8</v>
      </c>
      <c r="M13" t="n">
        <v>217906.8</v>
      </c>
      <c r="N13" t="n">
        <v>53.2</v>
      </c>
      <c r="O13" t="n">
        <v>3</v>
      </c>
      <c r="P13" t="n">
        <v>94.09999999999999</v>
      </c>
      <c r="Q13" t="inlineStr">
        <is>
          <t>green</t>
        </is>
      </c>
      <c r="R13" t="n">
        <v>-5.7</v>
      </c>
      <c r="S13" t="inlineStr">
        <is>
          <t>burn_trajectory</t>
        </is>
      </c>
      <c r="T13" t="inlineStr">
        <is>
          <t>no</t>
        </is>
      </c>
    </row>
    <row r="14">
      <c r="A14" t="n">
        <v>19</v>
      </c>
      <c r="B14" t="inlineStr">
        <is>
          <t>Thornbury Retail Partners</t>
        </is>
      </c>
      <c r="C14" t="inlineStr">
        <is>
          <t>Grid Analytics Assessment</t>
        </is>
      </c>
      <c r="D14" t="inlineStr">
        <is>
          <t>SOW-2025-019</t>
        </is>
      </c>
      <c r="E14" t="inlineStr">
        <is>
          <t>time_and_materials</t>
        </is>
      </c>
      <c r="F14" t="inlineStr">
        <is>
          <t>active</t>
        </is>
      </c>
      <c r="G14" t="inlineStr">
        <is>
          <t>2025-12-03</t>
        </is>
      </c>
      <c r="H14" t="inlineStr">
        <is>
          <t>2026-10-10</t>
        </is>
      </c>
      <c r="I14" t="n">
        <v>40</v>
      </c>
      <c r="J14" t="n">
        <v>940</v>
      </c>
      <c r="K14" t="n">
        <v>816.8</v>
      </c>
      <c r="L14" t="n">
        <v>86.90000000000001</v>
      </c>
      <c r="M14" t="n">
        <v>262260</v>
      </c>
      <c r="N14" t="n">
        <v>59.5</v>
      </c>
      <c r="O14" t="n">
        <v>2</v>
      </c>
      <c r="P14" t="n">
        <v>76.59999999999999</v>
      </c>
      <c r="Q14" t="inlineStr">
        <is>
          <t>green</t>
        </is>
      </c>
      <c r="R14" t="n">
        <v>-12.2</v>
      </c>
      <c r="S14" t="inlineStr">
        <is>
          <t>burn_trajectory</t>
        </is>
      </c>
      <c r="T14" t="inlineStr">
        <is>
          <t>yes</t>
        </is>
      </c>
      <c r="U14" t="n">
        <v>123.2</v>
      </c>
      <c r="V14" t="n">
        <v>29.88</v>
      </c>
      <c r="W14" t="n">
        <v>4</v>
      </c>
      <c r="X14" t="n">
        <v>0</v>
      </c>
      <c r="Y14" t="n">
        <v>987.5</v>
      </c>
      <c r="Z14" t="n">
        <v>5.1</v>
      </c>
      <c r="AA14" t="inlineStr">
        <is>
          <t>high</t>
        </is>
      </c>
      <c r="AB14" t="inlineStr">
        <is>
          <t>4 readable weeks with time logged in every one, 7.5% of entries filed after the period closed</t>
        </is>
      </c>
      <c r="AC14" t="n">
        <v>36.3</v>
      </c>
      <c r="AD14" t="n">
        <v>0</v>
      </c>
      <c r="AE14" t="n">
        <v>7.5</v>
      </c>
      <c r="AF14" t="n">
        <v>189126.6</v>
      </c>
      <c r="AG14" t="n">
        <v>189126.6</v>
      </c>
      <c r="AH14" t="n">
        <v>30225</v>
      </c>
      <c r="AI14" t="n">
        <v>106100</v>
      </c>
      <c r="AJ14" t="n">
        <v>219351.6</v>
      </c>
      <c r="AK14" t="n">
        <v>51.6</v>
      </c>
      <c r="AL14" t="n">
        <v>86.40000000000001</v>
      </c>
      <c r="AM14" t="n">
        <v>29.7</v>
      </c>
      <c r="AN14" t="n">
        <v>30.8</v>
      </c>
      <c r="AO14" t="n">
        <v>-3.7</v>
      </c>
    </row>
    <row r="15">
      <c r="A15" t="n">
        <v>20</v>
      </c>
      <c r="B15" t="inlineStr">
        <is>
          <t>Quarrymoor Transit Partners</t>
        </is>
      </c>
      <c r="C15" t="inlineStr">
        <is>
          <t>Inventory Implementation</t>
        </is>
      </c>
      <c r="D15" t="inlineStr">
        <is>
          <t>SOW-2025-020</t>
        </is>
      </c>
      <c r="E15" t="inlineStr">
        <is>
          <t>fixed</t>
        </is>
      </c>
      <c r="F15" t="inlineStr">
        <is>
          <t>active</t>
        </is>
      </c>
      <c r="G15" t="inlineStr">
        <is>
          <t>2025-11-30</t>
        </is>
      </c>
      <c r="H15" t="inlineStr">
        <is>
          <t>2027-04-16</t>
        </is>
      </c>
      <c r="I15" t="n">
        <v>228</v>
      </c>
      <c r="J15" t="n">
        <v>4840</v>
      </c>
      <c r="K15" t="n">
        <v>2720.7</v>
      </c>
      <c r="L15" t="n">
        <v>56.2</v>
      </c>
      <c r="M15" t="n">
        <v>1154243.2</v>
      </c>
      <c r="N15" t="n">
        <v>33</v>
      </c>
      <c r="O15" t="n">
        <v>6</v>
      </c>
      <c r="P15" t="n">
        <v>64</v>
      </c>
      <c r="Q15" t="inlineStr">
        <is>
          <t>amber</t>
        </is>
      </c>
      <c r="R15" t="n">
        <v>0.8</v>
      </c>
      <c r="S15" t="inlineStr">
        <is>
          <t>burn_trajectory</t>
        </is>
      </c>
      <c r="T15" t="inlineStr">
        <is>
          <t>yes</t>
        </is>
      </c>
      <c r="U15" t="n">
        <v>2119.3</v>
      </c>
      <c r="V15" t="n">
        <v>110.78</v>
      </c>
      <c r="W15" t="n">
        <v>4</v>
      </c>
      <c r="X15" t="n">
        <v>0</v>
      </c>
      <c r="Y15" t="n">
        <v>6328.8</v>
      </c>
      <c r="Z15" t="n">
        <v>30.8</v>
      </c>
      <c r="AA15" t="inlineStr">
        <is>
          <t>high</t>
        </is>
      </c>
      <c r="AB15" t="inlineStr">
        <is>
          <t>4 readable weeks with time logged in every one, 7.8% of entries filed after the period closed</t>
        </is>
      </c>
      <c r="AC15" t="n">
        <v>17.8</v>
      </c>
      <c r="AD15" t="n">
        <v>0</v>
      </c>
      <c r="AE15" t="n">
        <v>7.8</v>
      </c>
      <c r="AF15" t="n">
        <v>355151.75</v>
      </c>
      <c r="AG15" t="n">
        <v>355151.75</v>
      </c>
      <c r="AH15" t="n">
        <v>255780.05</v>
      </c>
      <c r="AI15" t="n">
        <v>288157</v>
      </c>
      <c r="AJ15" t="n">
        <v>610931.8</v>
      </c>
      <c r="AK15" t="n">
        <v>75</v>
      </c>
      <c r="AL15" t="n">
        <v>89.09999999999999</v>
      </c>
      <c r="AM15" t="n">
        <v>55</v>
      </c>
      <c r="AN15" t="n">
        <v>51.7</v>
      </c>
      <c r="AO15" t="n">
        <v>6.5</v>
      </c>
    </row>
    <row r="16">
      <c r="A16" t="n">
        <v>22</v>
      </c>
      <c r="B16" t="inlineStr">
        <is>
          <t>Fernhollow Financial Trust</t>
        </is>
      </c>
      <c r="C16" t="inlineStr">
        <is>
          <t>Billing Platform Assessment</t>
        </is>
      </c>
      <c r="D16" t="inlineStr">
        <is>
          <t>SOW-2026-022</t>
        </is>
      </c>
      <c r="E16" t="inlineStr">
        <is>
          <t>time_and_materials</t>
        </is>
      </c>
      <c r="F16" t="inlineStr">
        <is>
          <t>active</t>
        </is>
      </c>
      <c r="G16" t="inlineStr">
        <is>
          <t>2026-02-19</t>
        </is>
      </c>
      <c r="H16" t="inlineStr">
        <is>
          <t>2027-01-25</t>
        </is>
      </c>
      <c r="I16" t="n">
        <v>147</v>
      </c>
      <c r="J16" t="n">
        <v>1520</v>
      </c>
      <c r="K16" t="n">
        <v>895.2</v>
      </c>
      <c r="L16" t="n">
        <v>58.9</v>
      </c>
      <c r="M16" t="n">
        <v>443840</v>
      </c>
      <c r="N16" t="n">
        <v>33.1</v>
      </c>
      <c r="O16" t="n">
        <v>4</v>
      </c>
      <c r="P16" t="n">
        <v>68.90000000000001</v>
      </c>
      <c r="Q16" t="inlineStr">
        <is>
          <t>amber</t>
        </is>
      </c>
      <c r="R16" t="n">
        <v>-7.2</v>
      </c>
      <c r="S16" t="inlineStr">
        <is>
          <t>burn_trajectory</t>
        </is>
      </c>
      <c r="T16" t="inlineStr">
        <is>
          <t>yes</t>
        </is>
      </c>
      <c r="U16" t="n">
        <v>624.8</v>
      </c>
      <c r="V16" t="n">
        <v>37.78</v>
      </c>
      <c r="W16" t="n">
        <v>4</v>
      </c>
      <c r="X16" t="n">
        <v>0</v>
      </c>
      <c r="Y16" t="n">
        <v>1688.5</v>
      </c>
      <c r="Z16" t="n">
        <v>11.1</v>
      </c>
      <c r="AA16" t="inlineStr">
        <is>
          <t>high</t>
        </is>
      </c>
      <c r="AB16" t="inlineStr">
        <is>
          <t>4 readable weeks with time logged in every one, 3.4% of entries filed after the period closed</t>
        </is>
      </c>
      <c r="AC16" t="n">
        <v>3.3</v>
      </c>
      <c r="AD16" t="n">
        <v>0</v>
      </c>
      <c r="AE16" t="n">
        <v>3.4</v>
      </c>
      <c r="AF16" t="n">
        <v>197232.6</v>
      </c>
      <c r="AG16" t="n">
        <v>110441.3</v>
      </c>
      <c r="AH16" t="n">
        <v>31998.2</v>
      </c>
      <c r="AI16" t="n">
        <v>115100.6</v>
      </c>
      <c r="AJ16" t="n">
        <v>229230.8</v>
      </c>
      <c r="AK16" t="n">
        <v>49.8</v>
      </c>
      <c r="AL16" t="n">
        <v>90.90000000000001</v>
      </c>
      <c r="AM16" t="n">
        <v>46.2</v>
      </c>
      <c r="AN16" t="n">
        <v>44.1</v>
      </c>
      <c r="AO16" t="n">
        <v>4.7</v>
      </c>
    </row>
    <row r="17">
      <c r="A17" t="n">
        <v>23</v>
      </c>
      <c r="B17" t="inlineStr">
        <is>
          <t>Fernhollow Financial Trust</t>
        </is>
      </c>
      <c r="C17" t="inlineStr">
        <is>
          <t>Asset Register Assessment</t>
        </is>
      </c>
      <c r="D17" t="inlineStr">
        <is>
          <t>SOW-2025-023</t>
        </is>
      </c>
      <c r="E17" t="inlineStr">
        <is>
          <t>fixed</t>
        </is>
      </c>
      <c r="F17" t="inlineStr">
        <is>
          <t>active</t>
        </is>
      </c>
      <c r="G17" t="inlineStr">
        <is>
          <t>2025-12-30</t>
        </is>
      </c>
      <c r="H17" t="inlineStr">
        <is>
          <t>2027-01-11</t>
        </is>
      </c>
      <c r="I17" t="n">
        <v>133</v>
      </c>
      <c r="J17" t="n">
        <v>1840</v>
      </c>
      <c r="K17" t="n">
        <v>695.4</v>
      </c>
      <c r="L17" t="n">
        <v>37.8</v>
      </c>
      <c r="M17" t="n">
        <v>455731.2</v>
      </c>
      <c r="N17" t="n">
        <v>55.7</v>
      </c>
      <c r="O17" t="n">
        <v>2</v>
      </c>
      <c r="P17" t="n">
        <v>99.3</v>
      </c>
      <c r="Q17" t="inlineStr">
        <is>
          <t>green</t>
        </is>
      </c>
      <c r="R17" t="n">
        <v>-0.7</v>
      </c>
      <c r="S17" t="inlineStr">
        <is>
          <t>payment_behaviour</t>
        </is>
      </c>
      <c r="T17" t="inlineStr">
        <is>
          <t>no</t>
        </is>
      </c>
    </row>
    <row r="18">
      <c r="A18" t="n">
        <v>25</v>
      </c>
      <c r="B18" t="inlineStr">
        <is>
          <t>Stonebridge Energy Group</t>
        </is>
      </c>
      <c r="C18" t="inlineStr">
        <is>
          <t>Billing Platform Implementation</t>
        </is>
      </c>
      <c r="D18" t="inlineStr">
        <is>
          <t>SOW-2025-025</t>
        </is>
      </c>
      <c r="E18" t="inlineStr">
        <is>
          <t>time_and_materials</t>
        </is>
      </c>
      <c r="F18" t="inlineStr">
        <is>
          <t>active</t>
        </is>
      </c>
      <c r="G18" t="inlineStr">
        <is>
          <t>2025-11-11</t>
        </is>
      </c>
      <c r="H18" t="inlineStr">
        <is>
          <t>2026-10-25</t>
        </is>
      </c>
      <c r="I18" t="n">
        <v>55</v>
      </c>
      <c r="J18" t="n">
        <v>2440</v>
      </c>
      <c r="K18" t="n">
        <v>1967.8</v>
      </c>
      <c r="L18" t="n">
        <v>80.59999999999999</v>
      </c>
      <c r="M18" t="n">
        <v>688080</v>
      </c>
      <c r="N18" t="n">
        <v>53.7</v>
      </c>
      <c r="O18" t="n">
        <v>3</v>
      </c>
      <c r="P18" t="n">
        <v>76.59999999999999</v>
      </c>
      <c r="Q18" t="inlineStr">
        <is>
          <t>green</t>
        </is>
      </c>
      <c r="R18" t="n">
        <v>-9.4</v>
      </c>
      <c r="S18" t="inlineStr">
        <is>
          <t>reporting_gap</t>
        </is>
      </c>
      <c r="T18" t="inlineStr">
        <is>
          <t>yes</t>
        </is>
      </c>
      <c r="U18" t="n">
        <v>472.2</v>
      </c>
      <c r="V18" t="n">
        <v>22.53</v>
      </c>
      <c r="W18" t="n">
        <v>4</v>
      </c>
      <c r="X18" t="n">
        <v>2</v>
      </c>
      <c r="Y18" t="n">
        <v>2144.8</v>
      </c>
      <c r="Z18" t="n">
        <v>0</v>
      </c>
      <c r="AA18" t="inlineStr">
        <is>
          <t>low</t>
        </is>
      </c>
      <c r="AB18" t="inlineStr">
        <is>
          <t>2 of the trailing 4 readable weeks have no time logged against this engagement</t>
        </is>
      </c>
      <c r="AC18" t="n">
        <v>-46.6</v>
      </c>
      <c r="AD18" t="n">
        <v>24</v>
      </c>
      <c r="AE18" t="n">
        <v>0</v>
      </c>
      <c r="AF18" t="n">
        <v>441859</v>
      </c>
      <c r="AG18" t="n">
        <v>403089</v>
      </c>
      <c r="AH18" t="n">
        <v>8091.5</v>
      </c>
      <c r="AI18" t="n">
        <v>224191.7</v>
      </c>
      <c r="AJ18" t="n">
        <v>449950.5</v>
      </c>
      <c r="AK18" t="n">
        <v>50.2</v>
      </c>
      <c r="AL18" t="n">
        <v>87.40000000000001</v>
      </c>
      <c r="AM18" t="n">
        <v>39.8</v>
      </c>
      <c r="AN18" t="n">
        <v>39.7</v>
      </c>
      <c r="AO18" t="n">
        <v>0.4</v>
      </c>
    </row>
    <row r="19">
      <c r="A19" t="n">
        <v>29</v>
      </c>
      <c r="B19" t="inlineStr">
        <is>
          <t>Merrivale Maritime Corporation</t>
        </is>
      </c>
      <c r="C19" t="inlineStr">
        <is>
          <t>Grid Analytics Integration</t>
        </is>
      </c>
      <c r="D19" t="inlineStr">
        <is>
          <t>SOW-2026-029</t>
        </is>
      </c>
      <c r="E19" t="inlineStr">
        <is>
          <t>fixed</t>
        </is>
      </c>
      <c r="F19" t="inlineStr">
        <is>
          <t>active</t>
        </is>
      </c>
      <c r="G19" t="inlineStr">
        <is>
          <t>2026-01-26</t>
        </is>
      </c>
      <c r="H19" t="inlineStr">
        <is>
          <t>2026-12-26</t>
        </is>
      </c>
      <c r="I19" t="n">
        <v>117</v>
      </c>
      <c r="J19" t="n">
        <v>1960</v>
      </c>
      <c r="K19" t="n">
        <v>1108.6</v>
      </c>
      <c r="L19" t="n">
        <v>56.6</v>
      </c>
      <c r="M19" t="n">
        <v>482904.8</v>
      </c>
      <c r="N19" t="n">
        <v>37.1</v>
      </c>
      <c r="O19" t="n">
        <v>5</v>
      </c>
      <c r="P19" t="n">
        <v>85.59999999999999</v>
      </c>
      <c r="Q19" t="inlineStr">
        <is>
          <t>green</t>
        </is>
      </c>
      <c r="R19" t="n">
        <v>-1.3</v>
      </c>
      <c r="S19" t="inlineStr">
        <is>
          <t>burn_trajectory</t>
        </is>
      </c>
      <c r="T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1" customWidth="1" min="4" max="4"/>
    <col width="17" customWidth="1" min="5" max="5"/>
    <col width="11" customWidth="1" min="6" max="6"/>
    <col width="17" customWidth="1" min="7" max="7"/>
    <col width="14" customWidth="1" min="8" max="8"/>
    <col width="23" customWidth="1" min="9" max="9"/>
    <col width="16" customWidth="1" min="10" max="10"/>
  </cols>
  <sheetData>
    <row r="1">
      <c r="A1" s="2" t="inlineStr">
        <is>
          <t>engagement_id</t>
        </is>
      </c>
      <c r="B1" s="2" t="inlineStr">
        <is>
          <t>engagement_name</t>
        </is>
      </c>
      <c r="C1" s="2" t="inlineStr">
        <is>
          <t>week_start</t>
        </is>
      </c>
      <c r="D1" s="2" t="inlineStr">
        <is>
          <t>hours</t>
        </is>
      </c>
      <c r="E1" s="2" t="inlineStr">
        <is>
          <t>billable_hours</t>
        </is>
      </c>
      <c r="F1" s="2" t="inlineStr">
        <is>
          <t>cost</t>
        </is>
      </c>
      <c r="G1" s="2" t="inlineStr">
        <is>
          <t>billable_value</t>
        </is>
      </c>
      <c r="H1" s="2" t="inlineStr">
        <is>
          <t>entry_count</t>
        </is>
      </c>
      <c r="I1" s="2" t="inlineStr">
        <is>
          <t>pct_active_reporting</t>
        </is>
      </c>
      <c r="J1" s="2" t="inlineStr">
        <is>
          <t>firm_wide_gap</t>
        </is>
      </c>
    </row>
    <row r="2">
      <c r="A2" t="n">
        <v>2</v>
      </c>
      <c r="B2" t="inlineStr">
        <is>
          <t>Credit Risk Migration</t>
        </is>
      </c>
      <c r="C2" t="inlineStr">
        <is>
          <t>2026-08-03</t>
        </is>
      </c>
      <c r="D2" t="n">
        <v>10</v>
      </c>
      <c r="E2" t="n">
        <v>7.8</v>
      </c>
      <c r="F2" t="n">
        <v>1157.1</v>
      </c>
      <c r="G2" t="n">
        <v>1974.2</v>
      </c>
      <c r="H2" t="n">
        <v>11</v>
      </c>
      <c r="I2" t="n">
        <v>100</v>
      </c>
      <c r="J2" t="b">
        <v>0</v>
      </c>
    </row>
    <row r="3">
      <c r="A3" t="n">
        <v>2</v>
      </c>
      <c r="B3" t="inlineStr">
        <is>
          <t>Credit Risk Migration</t>
        </is>
      </c>
      <c r="C3" t="inlineStr">
        <is>
          <t>2026-08-17</t>
        </is>
      </c>
      <c r="D3" t="n">
        <v>23.9</v>
      </c>
      <c r="E3" t="n">
        <v>21.6</v>
      </c>
      <c r="F3" t="n">
        <v>2865.5</v>
      </c>
      <c r="G3" t="n">
        <v>5359.6</v>
      </c>
      <c r="H3" t="n">
        <v>22</v>
      </c>
      <c r="I3" t="n">
        <v>94.40000000000001</v>
      </c>
      <c r="J3" t="b">
        <v>0</v>
      </c>
    </row>
    <row r="4">
      <c r="A4" t="n">
        <v>3</v>
      </c>
      <c r="B4" t="inlineStr">
        <is>
          <t>Revenue Assurance Optimisation</t>
        </is>
      </c>
      <c r="C4" t="inlineStr">
        <is>
          <t>2026-08-03</t>
        </is>
      </c>
      <c r="D4" t="n">
        <v>19.8</v>
      </c>
      <c r="E4" t="n">
        <v>19.5</v>
      </c>
      <c r="F4" t="n">
        <v>3060.9</v>
      </c>
      <c r="G4" t="n">
        <v>6409.1</v>
      </c>
      <c r="H4" t="n">
        <v>17</v>
      </c>
      <c r="I4" t="n">
        <v>100</v>
      </c>
      <c r="J4" t="b">
        <v>0</v>
      </c>
    </row>
    <row r="5">
      <c r="A5" t="n">
        <v>3</v>
      </c>
      <c r="B5" t="inlineStr">
        <is>
          <t>Revenue Assurance Optimisation</t>
        </is>
      </c>
      <c r="C5" t="inlineStr">
        <is>
          <t>2026-08-17</t>
        </is>
      </c>
      <c r="D5" t="n">
        <v>15.4</v>
      </c>
      <c r="E5" t="n">
        <v>15.4</v>
      </c>
      <c r="F5" t="n">
        <v>2522.2</v>
      </c>
      <c r="G5" t="n">
        <v>5498.4</v>
      </c>
      <c r="H5" t="n">
        <v>11</v>
      </c>
      <c r="I5" t="n">
        <v>94.40000000000001</v>
      </c>
      <c r="J5" t="b">
        <v>0</v>
      </c>
    </row>
    <row r="6">
      <c r="A6" t="n">
        <v>3</v>
      </c>
      <c r="B6" t="inlineStr">
        <is>
          <t>Revenue Assurance Optimisation</t>
        </is>
      </c>
      <c r="C6" t="inlineStr">
        <is>
          <t>2026-08-24</t>
        </is>
      </c>
      <c r="D6" t="n">
        <v>25.7</v>
      </c>
      <c r="E6" t="n">
        <v>23</v>
      </c>
      <c r="F6" t="n">
        <v>3395.1</v>
      </c>
      <c r="G6" t="n">
        <v>6896.5</v>
      </c>
      <c r="H6" t="n">
        <v>24</v>
      </c>
      <c r="I6" t="n">
        <v>94.09999999999999</v>
      </c>
      <c r="J6" t="b">
        <v>0</v>
      </c>
    </row>
    <row r="7">
      <c r="A7" t="n">
        <v>3</v>
      </c>
      <c r="B7" t="inlineStr">
        <is>
          <t>Revenue Assurance Optimisation</t>
        </is>
      </c>
      <c r="C7" t="inlineStr">
        <is>
          <t>2026-08-31</t>
        </is>
      </c>
      <c r="D7" t="n">
        <v>7</v>
      </c>
      <c r="E7" t="n">
        <v>6.6</v>
      </c>
      <c r="F7" t="n">
        <v>1097</v>
      </c>
      <c r="G7" t="n">
        <v>2276.3</v>
      </c>
      <c r="H7" t="n">
        <v>7</v>
      </c>
      <c r="I7" t="n">
        <v>76.5</v>
      </c>
      <c r="J7" t="b">
        <v>0</v>
      </c>
    </row>
    <row r="8">
      <c r="A8" t="n">
        <v>5</v>
      </c>
      <c r="B8" t="inlineStr">
        <is>
          <t>Procurement Modernisation</t>
        </is>
      </c>
      <c r="C8" t="inlineStr">
        <is>
          <t>2026-08-03</t>
        </is>
      </c>
      <c r="D8" t="n">
        <v>40.8</v>
      </c>
      <c r="E8" t="n">
        <v>35.1</v>
      </c>
      <c r="F8" t="n">
        <v>4130.5</v>
      </c>
      <c r="G8" t="n">
        <v>7844</v>
      </c>
      <c r="H8" t="n">
        <v>37</v>
      </c>
      <c r="I8" t="n">
        <v>100</v>
      </c>
      <c r="J8" t="b">
        <v>0</v>
      </c>
    </row>
    <row r="9">
      <c r="A9" t="n">
        <v>5</v>
      </c>
      <c r="B9" t="inlineStr">
        <is>
          <t>Procurement Modernisation</t>
        </is>
      </c>
      <c r="C9" t="inlineStr">
        <is>
          <t>2026-08-10</t>
        </is>
      </c>
      <c r="D9" t="n">
        <v>214.7</v>
      </c>
      <c r="E9" t="n">
        <v>187.1</v>
      </c>
      <c r="F9" t="n">
        <v>22176.3</v>
      </c>
      <c r="G9" t="n">
        <v>45110.1</v>
      </c>
      <c r="H9" t="n">
        <v>186</v>
      </c>
      <c r="I9" t="n">
        <v>16.7</v>
      </c>
      <c r="J9" t="b">
        <v>1</v>
      </c>
    </row>
    <row r="10">
      <c r="A10" t="n">
        <v>5</v>
      </c>
      <c r="B10" t="inlineStr">
        <is>
          <t>Procurement Modernisation</t>
        </is>
      </c>
      <c r="C10" t="inlineStr">
        <is>
          <t>2026-08-17</t>
        </is>
      </c>
      <c r="D10" t="n">
        <v>65</v>
      </c>
      <c r="E10" t="n">
        <v>47.6</v>
      </c>
      <c r="F10" t="n">
        <v>6377.2</v>
      </c>
      <c r="G10" t="n">
        <v>10605.3</v>
      </c>
      <c r="H10" t="n">
        <v>51</v>
      </c>
      <c r="I10" t="n">
        <v>94.40000000000001</v>
      </c>
      <c r="J10" t="b">
        <v>0</v>
      </c>
    </row>
    <row r="11">
      <c r="A11" t="n">
        <v>5</v>
      </c>
      <c r="B11" t="inlineStr">
        <is>
          <t>Procurement Modernisation</t>
        </is>
      </c>
      <c r="C11" t="inlineStr">
        <is>
          <t>2026-08-24</t>
        </is>
      </c>
      <c r="D11" t="n">
        <v>95.90000000000001</v>
      </c>
      <c r="E11" t="n">
        <v>91</v>
      </c>
      <c r="F11" t="n">
        <v>9038.200000000001</v>
      </c>
      <c r="G11" t="n">
        <v>20318</v>
      </c>
      <c r="H11" t="n">
        <v>86</v>
      </c>
      <c r="I11" t="n">
        <v>94.09999999999999</v>
      </c>
      <c r="J11" t="b">
        <v>0</v>
      </c>
    </row>
    <row r="12">
      <c r="A12" t="n">
        <v>5</v>
      </c>
      <c r="B12" t="inlineStr">
        <is>
          <t>Procurement Modernisation</t>
        </is>
      </c>
      <c r="C12" t="inlineStr">
        <is>
          <t>2026-08-31</t>
        </is>
      </c>
      <c r="D12" t="n">
        <v>19.1</v>
      </c>
      <c r="E12" t="n">
        <v>14.4</v>
      </c>
      <c r="F12" t="n">
        <v>1878.2</v>
      </c>
      <c r="G12" t="n">
        <v>3463</v>
      </c>
      <c r="H12" t="n">
        <v>17</v>
      </c>
      <c r="I12" t="n">
        <v>76.5</v>
      </c>
      <c r="J12" t="b">
        <v>0</v>
      </c>
    </row>
    <row r="13">
      <c r="A13" t="n">
        <v>7</v>
      </c>
      <c r="B13" t="inlineStr">
        <is>
          <t>Revenue Assurance Discovery</t>
        </is>
      </c>
      <c r="C13" t="inlineStr">
        <is>
          <t>2026-08-03</t>
        </is>
      </c>
      <c r="D13" t="n">
        <v>8.800000000000001</v>
      </c>
      <c r="E13" t="n">
        <v>8.800000000000001</v>
      </c>
      <c r="F13" t="n">
        <v>1612.6</v>
      </c>
      <c r="G13" t="n">
        <v>3230.7</v>
      </c>
      <c r="H13" t="n">
        <v>10</v>
      </c>
      <c r="I13" t="n">
        <v>100</v>
      </c>
      <c r="J13" t="b">
        <v>0</v>
      </c>
    </row>
    <row r="14">
      <c r="A14" t="n">
        <v>7</v>
      </c>
      <c r="B14" t="inlineStr">
        <is>
          <t>Revenue Assurance Discovery</t>
        </is>
      </c>
      <c r="C14" t="inlineStr">
        <is>
          <t>2026-08-17</t>
        </is>
      </c>
      <c r="D14" t="n">
        <v>24.5</v>
      </c>
      <c r="E14" t="n">
        <v>21.8</v>
      </c>
      <c r="F14" t="n">
        <v>3588.2</v>
      </c>
      <c r="G14" t="n">
        <v>6875.4</v>
      </c>
      <c r="H14" t="n">
        <v>22</v>
      </c>
      <c r="I14" t="n">
        <v>94.40000000000001</v>
      </c>
      <c r="J14" t="b">
        <v>0</v>
      </c>
    </row>
    <row r="15">
      <c r="A15" t="n">
        <v>7</v>
      </c>
      <c r="B15" t="inlineStr">
        <is>
          <t>Revenue Assurance Discovery</t>
        </is>
      </c>
      <c r="C15" t="inlineStr">
        <is>
          <t>2026-08-24</t>
        </is>
      </c>
      <c r="D15" t="n">
        <v>35.5</v>
      </c>
      <c r="E15" t="n">
        <v>31.4</v>
      </c>
      <c r="F15" t="n">
        <v>5005</v>
      </c>
      <c r="G15" t="n">
        <v>9676.6</v>
      </c>
      <c r="H15" t="n">
        <v>27</v>
      </c>
      <c r="I15" t="n">
        <v>94.09999999999999</v>
      </c>
      <c r="J15" t="b">
        <v>0</v>
      </c>
    </row>
    <row r="16">
      <c r="A16" t="n">
        <v>7</v>
      </c>
      <c r="B16" t="inlineStr">
        <is>
          <t>Revenue Assurance Discovery</t>
        </is>
      </c>
      <c r="C16" t="inlineStr">
        <is>
          <t>2026-08-31</t>
        </is>
      </c>
      <c r="D16" t="n">
        <v>6.7</v>
      </c>
      <c r="E16" t="n">
        <v>4</v>
      </c>
      <c r="F16" t="n">
        <v>442.2</v>
      </c>
      <c r="G16" t="n">
        <v>564</v>
      </c>
      <c r="H16" t="n">
        <v>4</v>
      </c>
      <c r="I16" t="n">
        <v>76.5</v>
      </c>
      <c r="J16" t="b">
        <v>0</v>
      </c>
    </row>
    <row r="17">
      <c r="A17" t="n">
        <v>8</v>
      </c>
      <c r="B17" t="inlineStr">
        <is>
          <t>Regulatory Reporting Programme</t>
        </is>
      </c>
      <c r="C17" t="inlineStr">
        <is>
          <t>2026-08-03</t>
        </is>
      </c>
      <c r="D17" t="n">
        <v>19</v>
      </c>
      <c r="E17" t="n">
        <v>18.4</v>
      </c>
      <c r="F17" t="n">
        <v>1591.3</v>
      </c>
      <c r="G17" t="n">
        <v>3403.9</v>
      </c>
      <c r="H17" t="n">
        <v>23</v>
      </c>
      <c r="I17" t="n">
        <v>100</v>
      </c>
      <c r="J17" t="b">
        <v>0</v>
      </c>
    </row>
    <row r="18">
      <c r="A18" t="n">
        <v>8</v>
      </c>
      <c r="B18" t="inlineStr">
        <is>
          <t>Regulatory Reporting Programme</t>
        </is>
      </c>
      <c r="C18" t="inlineStr">
        <is>
          <t>2026-08-17</t>
        </is>
      </c>
      <c r="D18" t="n">
        <v>51.7</v>
      </c>
      <c r="E18" t="n">
        <v>43.2</v>
      </c>
      <c r="F18" t="n">
        <v>8426.5</v>
      </c>
      <c r="G18" t="n">
        <v>14753.9</v>
      </c>
      <c r="H18" t="n">
        <v>49</v>
      </c>
      <c r="I18" t="n">
        <v>94.40000000000001</v>
      </c>
      <c r="J18" t="b">
        <v>0</v>
      </c>
    </row>
    <row r="19">
      <c r="A19" t="n">
        <v>8</v>
      </c>
      <c r="B19" t="inlineStr">
        <is>
          <t>Regulatory Reporting Programme</t>
        </is>
      </c>
      <c r="C19" t="inlineStr">
        <is>
          <t>2026-08-24</t>
        </is>
      </c>
      <c r="D19" t="n">
        <v>25.8</v>
      </c>
      <c r="E19" t="n">
        <v>25.8</v>
      </c>
      <c r="F19" t="n">
        <v>4543.6</v>
      </c>
      <c r="G19" t="n">
        <v>9490.6</v>
      </c>
      <c r="H19" t="n">
        <v>22</v>
      </c>
      <c r="I19" t="n">
        <v>94.09999999999999</v>
      </c>
      <c r="J19" t="b">
        <v>0</v>
      </c>
    </row>
    <row r="20">
      <c r="A20" t="n">
        <v>9</v>
      </c>
      <c r="B20" t="inlineStr">
        <is>
          <t>Pricing Modernisation</t>
        </is>
      </c>
      <c r="C20" t="inlineStr">
        <is>
          <t>2026-08-03</t>
        </is>
      </c>
      <c r="D20" t="n">
        <v>43.7</v>
      </c>
      <c r="E20" t="n">
        <v>36</v>
      </c>
      <c r="F20" t="n">
        <v>7559</v>
      </c>
      <c r="G20" t="n">
        <v>13790.8</v>
      </c>
      <c r="H20" t="n">
        <v>35</v>
      </c>
      <c r="I20" t="n">
        <v>100</v>
      </c>
      <c r="J20" t="b">
        <v>0</v>
      </c>
    </row>
    <row r="21">
      <c r="A21" t="n">
        <v>9</v>
      </c>
      <c r="B21" t="inlineStr">
        <is>
          <t>Pricing Modernisation</t>
        </is>
      </c>
      <c r="C21" t="inlineStr">
        <is>
          <t>2026-08-17</t>
        </is>
      </c>
      <c r="D21" t="n">
        <v>22.4</v>
      </c>
      <c r="E21" t="n">
        <v>17.9</v>
      </c>
      <c r="F21" t="n">
        <v>3943.2</v>
      </c>
      <c r="G21" t="n">
        <v>7081.6</v>
      </c>
      <c r="H21" t="n">
        <v>19</v>
      </c>
      <c r="I21" t="n">
        <v>94.40000000000001</v>
      </c>
      <c r="J21" t="b">
        <v>0</v>
      </c>
    </row>
    <row r="22">
      <c r="A22" t="n">
        <v>9</v>
      </c>
      <c r="B22" t="inlineStr">
        <is>
          <t>Pricing Modernisation</t>
        </is>
      </c>
      <c r="C22" t="inlineStr">
        <is>
          <t>2026-08-24</t>
        </is>
      </c>
      <c r="D22" t="n">
        <v>46.9</v>
      </c>
      <c r="E22" t="n">
        <v>38.7</v>
      </c>
      <c r="F22" t="n">
        <v>7416.6</v>
      </c>
      <c r="G22" t="n">
        <v>13622.4</v>
      </c>
      <c r="H22" t="n">
        <v>40</v>
      </c>
      <c r="I22" t="n">
        <v>94.09999999999999</v>
      </c>
      <c r="J22" t="b">
        <v>0</v>
      </c>
    </row>
    <row r="23">
      <c r="A23" t="n">
        <v>9</v>
      </c>
      <c r="B23" t="inlineStr">
        <is>
          <t>Pricing Modernisation</t>
        </is>
      </c>
      <c r="C23" t="inlineStr">
        <is>
          <t>2026-08-31</t>
        </is>
      </c>
      <c r="D23" t="n">
        <v>3.9</v>
      </c>
      <c r="E23" t="n">
        <v>2.2</v>
      </c>
      <c r="F23" t="n">
        <v>460.2</v>
      </c>
      <c r="G23" t="n">
        <v>633.6</v>
      </c>
      <c r="H23" t="n">
        <v>3</v>
      </c>
      <c r="I23" t="n">
        <v>76.5</v>
      </c>
      <c r="J23" t="b">
        <v>0</v>
      </c>
    </row>
    <row r="24">
      <c r="A24" t="n">
        <v>11</v>
      </c>
      <c r="B24" t="inlineStr">
        <is>
          <t>Inventory Modernisation</t>
        </is>
      </c>
      <c r="C24" t="inlineStr">
        <is>
          <t>2026-08-03</t>
        </is>
      </c>
      <c r="D24" t="n">
        <v>56.9</v>
      </c>
      <c r="E24" t="n">
        <v>48.1</v>
      </c>
      <c r="F24" t="n">
        <v>5968.5</v>
      </c>
      <c r="G24" t="n">
        <v>12270.6</v>
      </c>
      <c r="H24" t="n">
        <v>52</v>
      </c>
      <c r="I24" t="n">
        <v>100</v>
      </c>
      <c r="J24" t="b">
        <v>0</v>
      </c>
    </row>
    <row r="25">
      <c r="A25" t="n">
        <v>11</v>
      </c>
      <c r="B25" t="inlineStr">
        <is>
          <t>Inventory Modernisation</t>
        </is>
      </c>
      <c r="C25" t="inlineStr">
        <is>
          <t>2026-08-10</t>
        </is>
      </c>
      <c r="D25" t="n">
        <v>108.5</v>
      </c>
      <c r="E25" t="n">
        <v>100.1</v>
      </c>
      <c r="F25" t="n">
        <v>12964.7</v>
      </c>
      <c r="G25" t="n">
        <v>28680.3</v>
      </c>
      <c r="H25" t="n">
        <v>106</v>
      </c>
      <c r="I25" t="n">
        <v>16.7</v>
      </c>
      <c r="J25" t="b">
        <v>1</v>
      </c>
    </row>
    <row r="26">
      <c r="A26" t="n">
        <v>11</v>
      </c>
      <c r="B26" t="inlineStr">
        <is>
          <t>Inventory Modernisation</t>
        </is>
      </c>
      <c r="C26" t="inlineStr">
        <is>
          <t>2026-08-17</t>
        </is>
      </c>
      <c r="D26" t="n">
        <v>80.5</v>
      </c>
      <c r="E26" t="n">
        <v>67.09999999999999</v>
      </c>
      <c r="F26" t="n">
        <v>8698.5</v>
      </c>
      <c r="G26" t="n">
        <v>17802.3</v>
      </c>
      <c r="H26" t="n">
        <v>67</v>
      </c>
      <c r="I26" t="n">
        <v>94.40000000000001</v>
      </c>
      <c r="J26" t="b">
        <v>0</v>
      </c>
    </row>
    <row r="27">
      <c r="A27" t="n">
        <v>11</v>
      </c>
      <c r="B27" t="inlineStr">
        <is>
          <t>Inventory Modernisation</t>
        </is>
      </c>
      <c r="C27" t="inlineStr">
        <is>
          <t>2026-08-24</t>
        </is>
      </c>
      <c r="D27" t="n">
        <v>87</v>
      </c>
      <c r="E27" t="n">
        <v>72.3</v>
      </c>
      <c r="F27" t="n">
        <v>9917.5</v>
      </c>
      <c r="G27" t="n">
        <v>19833</v>
      </c>
      <c r="H27" t="n">
        <v>82</v>
      </c>
      <c r="I27" t="n">
        <v>94.09999999999999</v>
      </c>
      <c r="J27" t="b">
        <v>0</v>
      </c>
    </row>
    <row r="28">
      <c r="A28" t="n">
        <v>11</v>
      </c>
      <c r="B28" t="inlineStr">
        <is>
          <t>Inventory Modernisation</t>
        </is>
      </c>
      <c r="C28" t="inlineStr">
        <is>
          <t>2026-08-31</t>
        </is>
      </c>
      <c r="D28" t="n">
        <v>12.8</v>
      </c>
      <c r="E28" t="n">
        <v>11.8</v>
      </c>
      <c r="F28" t="n">
        <v>1217.9</v>
      </c>
      <c r="G28" t="n">
        <v>2793.9</v>
      </c>
      <c r="H28" t="n">
        <v>12</v>
      </c>
      <c r="I28" t="n">
        <v>76.5</v>
      </c>
      <c r="J28" t="b">
        <v>0</v>
      </c>
    </row>
    <row r="29">
      <c r="A29" t="n">
        <v>12</v>
      </c>
      <c r="B29" t="inlineStr">
        <is>
          <t>Credit Risk Programme</t>
        </is>
      </c>
      <c r="C29" t="inlineStr">
        <is>
          <t>2026-08-03</t>
        </is>
      </c>
      <c r="D29" t="n">
        <v>20</v>
      </c>
      <c r="E29" t="n">
        <v>18.9</v>
      </c>
      <c r="F29" t="n">
        <v>2560</v>
      </c>
      <c r="G29" t="n">
        <v>5481</v>
      </c>
      <c r="H29" t="n">
        <v>17</v>
      </c>
      <c r="I29" t="n">
        <v>100</v>
      </c>
      <c r="J29" t="b">
        <v>0</v>
      </c>
    </row>
    <row r="30">
      <c r="A30" t="n">
        <v>12</v>
      </c>
      <c r="B30" t="inlineStr">
        <is>
          <t>Credit Risk Programme</t>
        </is>
      </c>
      <c r="C30" t="inlineStr">
        <is>
          <t>2026-08-17</t>
        </is>
      </c>
      <c r="D30" t="n">
        <v>16.3</v>
      </c>
      <c r="E30" t="n">
        <v>15.7</v>
      </c>
      <c r="F30" t="n">
        <v>2086.4</v>
      </c>
      <c r="G30" t="n">
        <v>4553</v>
      </c>
      <c r="H30" t="n">
        <v>16</v>
      </c>
      <c r="I30" t="n">
        <v>94.40000000000001</v>
      </c>
      <c r="J30" t="b">
        <v>0</v>
      </c>
    </row>
    <row r="31">
      <c r="A31" t="n">
        <v>12</v>
      </c>
      <c r="B31" t="inlineStr">
        <is>
          <t>Credit Risk Programme</t>
        </is>
      </c>
      <c r="C31" t="inlineStr">
        <is>
          <t>2026-08-24</t>
        </is>
      </c>
      <c r="D31" t="n">
        <v>35.9</v>
      </c>
      <c r="E31" t="n">
        <v>32.7</v>
      </c>
      <c r="F31" t="n">
        <v>4733.2</v>
      </c>
      <c r="G31" t="n">
        <v>9729.5</v>
      </c>
      <c r="H31" t="n">
        <v>29</v>
      </c>
      <c r="I31" t="n">
        <v>94.09999999999999</v>
      </c>
      <c r="J31" t="b">
        <v>0</v>
      </c>
    </row>
    <row r="32">
      <c r="A32" t="n">
        <v>12</v>
      </c>
      <c r="B32" t="inlineStr">
        <is>
          <t>Credit Risk Programme</t>
        </is>
      </c>
      <c r="C32" t="inlineStr">
        <is>
          <t>2026-08-31</t>
        </is>
      </c>
      <c r="D32" t="n">
        <v>7</v>
      </c>
      <c r="E32" t="n">
        <v>5.8</v>
      </c>
      <c r="F32" t="n">
        <v>1106</v>
      </c>
      <c r="G32" t="n">
        <v>2175</v>
      </c>
      <c r="H32" t="n">
        <v>9</v>
      </c>
      <c r="I32" t="n">
        <v>76.5</v>
      </c>
      <c r="J32" t="b">
        <v>0</v>
      </c>
    </row>
    <row r="33">
      <c r="A33" t="n">
        <v>13</v>
      </c>
      <c r="B33" t="inlineStr">
        <is>
          <t>Payments Assessment</t>
        </is>
      </c>
      <c r="C33" t="inlineStr">
        <is>
          <t>2026-08-03</t>
        </is>
      </c>
      <c r="D33" t="n">
        <v>61.4</v>
      </c>
      <c r="E33" t="n">
        <v>52.6</v>
      </c>
      <c r="F33" t="n">
        <v>5596.6</v>
      </c>
      <c r="G33" t="n">
        <v>11399.7</v>
      </c>
      <c r="H33" t="n">
        <v>58</v>
      </c>
      <c r="I33" t="n">
        <v>100</v>
      </c>
      <c r="J33" t="b">
        <v>0</v>
      </c>
    </row>
    <row r="34">
      <c r="A34" t="n">
        <v>13</v>
      </c>
      <c r="B34" t="inlineStr">
        <is>
          <t>Payments Assessment</t>
        </is>
      </c>
      <c r="C34" t="inlineStr">
        <is>
          <t>2026-08-17</t>
        </is>
      </c>
      <c r="D34" t="n">
        <v>66.59999999999999</v>
      </c>
      <c r="E34" t="n">
        <v>59</v>
      </c>
      <c r="F34" t="n">
        <v>7144.4</v>
      </c>
      <c r="G34" t="n">
        <v>15000.7</v>
      </c>
      <c r="H34" t="n">
        <v>60</v>
      </c>
      <c r="I34" t="n">
        <v>94.40000000000001</v>
      </c>
      <c r="J34" t="b">
        <v>0</v>
      </c>
    </row>
    <row r="35">
      <c r="A35" t="n">
        <v>13</v>
      </c>
      <c r="B35" t="inlineStr">
        <is>
          <t>Payments Assessment</t>
        </is>
      </c>
      <c r="C35" t="inlineStr">
        <is>
          <t>2026-08-24</t>
        </is>
      </c>
      <c r="D35" t="n">
        <v>66.59999999999999</v>
      </c>
      <c r="E35" t="n">
        <v>53.5</v>
      </c>
      <c r="F35" t="n">
        <v>7449</v>
      </c>
      <c r="G35" t="n">
        <v>14711.6</v>
      </c>
      <c r="H35" t="n">
        <v>57</v>
      </c>
      <c r="I35" t="n">
        <v>94.09999999999999</v>
      </c>
      <c r="J35" t="b">
        <v>0</v>
      </c>
    </row>
    <row r="36">
      <c r="A36" t="n">
        <v>13</v>
      </c>
      <c r="B36" t="inlineStr">
        <is>
          <t>Payments Assessment</t>
        </is>
      </c>
      <c r="C36" t="inlineStr">
        <is>
          <t>2026-08-31</t>
        </is>
      </c>
      <c r="D36" t="n">
        <v>10</v>
      </c>
      <c r="E36" t="n">
        <v>7.8</v>
      </c>
      <c r="F36" t="n">
        <v>1021</v>
      </c>
      <c r="G36" t="n">
        <v>1953.9</v>
      </c>
      <c r="H36" t="n">
        <v>10</v>
      </c>
      <c r="I36" t="n">
        <v>76.5</v>
      </c>
      <c r="J36" t="b">
        <v>0</v>
      </c>
    </row>
    <row r="37">
      <c r="A37" t="n">
        <v>14</v>
      </c>
      <c r="B37" t="inlineStr">
        <is>
          <t>Asset Register Programme</t>
        </is>
      </c>
      <c r="C37" t="inlineStr">
        <is>
          <t>2026-08-03</t>
        </is>
      </c>
      <c r="D37" t="n">
        <v>49.8</v>
      </c>
      <c r="E37" t="n">
        <v>41.9</v>
      </c>
      <c r="F37" t="n">
        <v>5251.4</v>
      </c>
      <c r="G37" t="n">
        <v>10399.6</v>
      </c>
      <c r="H37" t="n">
        <v>46</v>
      </c>
      <c r="I37" t="n">
        <v>100</v>
      </c>
      <c r="J37" t="b">
        <v>0</v>
      </c>
    </row>
    <row r="38">
      <c r="A38" t="n">
        <v>14</v>
      </c>
      <c r="B38" t="inlineStr">
        <is>
          <t>Asset Register Programme</t>
        </is>
      </c>
      <c r="C38" t="inlineStr">
        <is>
          <t>2026-08-17</t>
        </is>
      </c>
      <c r="D38" t="n">
        <v>74</v>
      </c>
      <c r="E38" t="n">
        <v>69.40000000000001</v>
      </c>
      <c r="F38" t="n">
        <v>8086</v>
      </c>
      <c r="G38" t="n">
        <v>17357.4</v>
      </c>
      <c r="H38" t="n">
        <v>70</v>
      </c>
      <c r="I38" t="n">
        <v>94.40000000000001</v>
      </c>
      <c r="J38" t="b">
        <v>0</v>
      </c>
    </row>
    <row r="39">
      <c r="A39" t="n">
        <v>14</v>
      </c>
      <c r="B39" t="inlineStr">
        <is>
          <t>Asset Register Programme</t>
        </is>
      </c>
      <c r="C39" t="inlineStr">
        <is>
          <t>2026-08-24</t>
        </is>
      </c>
      <c r="D39" t="n">
        <v>55.6</v>
      </c>
      <c r="E39" t="n">
        <v>50.5</v>
      </c>
      <c r="F39" t="n">
        <v>5092.9</v>
      </c>
      <c r="G39" t="n">
        <v>11234.6</v>
      </c>
      <c r="H39" t="n">
        <v>45</v>
      </c>
      <c r="I39" t="n">
        <v>94.09999999999999</v>
      </c>
      <c r="J39" t="b">
        <v>0</v>
      </c>
    </row>
    <row r="40">
      <c r="A40" t="n">
        <v>14</v>
      </c>
      <c r="B40" t="inlineStr">
        <is>
          <t>Asset Register Programme</t>
        </is>
      </c>
      <c r="C40" t="inlineStr">
        <is>
          <t>2026-08-31</t>
        </is>
      </c>
      <c r="D40" t="n">
        <v>19.3</v>
      </c>
      <c r="E40" t="n">
        <v>16.5</v>
      </c>
      <c r="F40" t="n">
        <v>2507.5</v>
      </c>
      <c r="G40" t="n">
        <v>4721.4</v>
      </c>
      <c r="H40" t="n">
        <v>16</v>
      </c>
      <c r="I40" t="n">
        <v>76.5</v>
      </c>
      <c r="J40" t="b">
        <v>0</v>
      </c>
    </row>
    <row r="41">
      <c r="A41" t="n">
        <v>15</v>
      </c>
      <c r="B41" t="inlineStr">
        <is>
          <t>Workforce Planning Programme</t>
        </is>
      </c>
      <c r="C41" t="inlineStr">
        <is>
          <t>2026-08-03</t>
        </is>
      </c>
      <c r="D41" t="n">
        <v>73.8</v>
      </c>
      <c r="E41" t="n">
        <v>65.90000000000001</v>
      </c>
      <c r="F41" t="n">
        <v>7883.1</v>
      </c>
      <c r="G41" t="n">
        <v>15012</v>
      </c>
      <c r="H41" t="n">
        <v>70</v>
      </c>
      <c r="I41" t="n">
        <v>100</v>
      </c>
      <c r="J41" t="b">
        <v>0</v>
      </c>
    </row>
    <row r="42">
      <c r="A42" t="n">
        <v>15</v>
      </c>
      <c r="B42" t="inlineStr">
        <is>
          <t>Workforce Planning Programme</t>
        </is>
      </c>
      <c r="C42" t="inlineStr">
        <is>
          <t>2026-08-17</t>
        </is>
      </c>
      <c r="D42" t="n">
        <v>84</v>
      </c>
      <c r="E42" t="n">
        <v>73.3</v>
      </c>
      <c r="F42" t="n">
        <v>9353.9</v>
      </c>
      <c r="G42" t="n">
        <v>17160.7</v>
      </c>
      <c r="H42" t="n">
        <v>66</v>
      </c>
      <c r="I42" t="n">
        <v>94.40000000000001</v>
      </c>
      <c r="J42" t="b">
        <v>0</v>
      </c>
    </row>
    <row r="43">
      <c r="A43" t="n">
        <v>15</v>
      </c>
      <c r="B43" t="inlineStr">
        <is>
          <t>Workforce Planning Programme</t>
        </is>
      </c>
      <c r="C43" t="inlineStr">
        <is>
          <t>2026-08-24</t>
        </is>
      </c>
      <c r="D43" t="n">
        <v>55.8</v>
      </c>
      <c r="E43" t="n">
        <v>52</v>
      </c>
      <c r="F43" t="n">
        <v>5863.5</v>
      </c>
      <c r="G43" t="n">
        <v>11338</v>
      </c>
      <c r="H43" t="n">
        <v>50</v>
      </c>
      <c r="I43" t="n">
        <v>94.09999999999999</v>
      </c>
      <c r="J43" t="b">
        <v>0</v>
      </c>
    </row>
    <row r="44">
      <c r="A44" t="n">
        <v>15</v>
      </c>
      <c r="B44" t="inlineStr">
        <is>
          <t>Workforce Planning Programme</t>
        </is>
      </c>
      <c r="C44" t="inlineStr">
        <is>
          <t>2026-08-31</t>
        </is>
      </c>
      <c r="D44" t="n">
        <v>14.9</v>
      </c>
      <c r="E44" t="n">
        <v>14.6</v>
      </c>
      <c r="F44" t="n">
        <v>1515.6</v>
      </c>
      <c r="G44" t="n">
        <v>3141.9</v>
      </c>
      <c r="H44" t="n">
        <v>15</v>
      </c>
      <c r="I44" t="n">
        <v>76.5</v>
      </c>
      <c r="J44" t="b">
        <v>0</v>
      </c>
    </row>
    <row r="45">
      <c r="A45" t="n">
        <v>16</v>
      </c>
      <c r="B45" t="inlineStr">
        <is>
          <t>Field Operations Rollout</t>
        </is>
      </c>
      <c r="C45" t="inlineStr">
        <is>
          <t>2026-08-03</t>
        </is>
      </c>
      <c r="D45" t="n">
        <v>20.8</v>
      </c>
      <c r="E45" t="n">
        <v>16.6</v>
      </c>
      <c r="F45" t="n">
        <v>2788.4</v>
      </c>
      <c r="G45" t="n">
        <v>4531.3</v>
      </c>
      <c r="H45" t="n">
        <v>19</v>
      </c>
      <c r="I45" t="n">
        <v>100</v>
      </c>
      <c r="J45" t="b">
        <v>0</v>
      </c>
    </row>
    <row r="46">
      <c r="A46" t="n">
        <v>16</v>
      </c>
      <c r="B46" t="inlineStr">
        <is>
          <t>Field Operations Rollout</t>
        </is>
      </c>
      <c r="C46" t="inlineStr">
        <is>
          <t>2026-08-17</t>
        </is>
      </c>
      <c r="D46" t="n">
        <v>64.2</v>
      </c>
      <c r="E46" t="n">
        <v>55.7</v>
      </c>
      <c r="F46" t="n">
        <v>9819.4</v>
      </c>
      <c r="G46" t="n">
        <v>18259.1</v>
      </c>
      <c r="H46" t="n">
        <v>57</v>
      </c>
      <c r="I46" t="n">
        <v>94.40000000000001</v>
      </c>
      <c r="J46" t="b">
        <v>0</v>
      </c>
    </row>
    <row r="47">
      <c r="A47" t="n">
        <v>16</v>
      </c>
      <c r="B47" t="inlineStr">
        <is>
          <t>Field Operations Rollout</t>
        </is>
      </c>
      <c r="C47" t="inlineStr">
        <is>
          <t>2026-08-24</t>
        </is>
      </c>
      <c r="D47" t="n">
        <v>20.1</v>
      </c>
      <c r="E47" t="n">
        <v>16.1</v>
      </c>
      <c r="F47" t="n">
        <v>2972.1</v>
      </c>
      <c r="G47" t="n">
        <v>5155.5</v>
      </c>
      <c r="H47" t="n">
        <v>19</v>
      </c>
      <c r="I47" t="n">
        <v>94.09999999999999</v>
      </c>
      <c r="J47" t="b">
        <v>0</v>
      </c>
    </row>
    <row r="48">
      <c r="A48" t="n">
        <v>16</v>
      </c>
      <c r="B48" t="inlineStr">
        <is>
          <t>Field Operations Rollout</t>
        </is>
      </c>
      <c r="C48" t="inlineStr">
        <is>
          <t>2026-08-31</t>
        </is>
      </c>
      <c r="D48" t="n">
        <v>3.5</v>
      </c>
      <c r="E48" t="n">
        <v>3.5</v>
      </c>
      <c r="F48" t="n">
        <v>262.5</v>
      </c>
      <c r="G48" t="n">
        <v>731.5</v>
      </c>
      <c r="H48" t="n">
        <v>4</v>
      </c>
      <c r="I48" t="n">
        <v>76.5</v>
      </c>
      <c r="J48" t="b">
        <v>0</v>
      </c>
    </row>
    <row r="49">
      <c r="A49" t="n">
        <v>18</v>
      </c>
      <c r="B49" t="inlineStr">
        <is>
          <t>Payments Modernisation</t>
        </is>
      </c>
      <c r="C49" t="inlineStr">
        <is>
          <t>2026-08-03</t>
        </is>
      </c>
      <c r="D49" t="n">
        <v>16</v>
      </c>
      <c r="E49" t="n">
        <v>14.8</v>
      </c>
      <c r="F49" t="n">
        <v>2736</v>
      </c>
      <c r="G49" t="n">
        <v>4854.4</v>
      </c>
      <c r="H49" t="n">
        <v>12</v>
      </c>
      <c r="I49" t="n">
        <v>100</v>
      </c>
      <c r="J49" t="b">
        <v>0</v>
      </c>
    </row>
    <row r="50">
      <c r="A50" t="n">
        <v>18</v>
      </c>
      <c r="B50" t="inlineStr">
        <is>
          <t>Payments Modernisation</t>
        </is>
      </c>
      <c r="C50" t="inlineStr">
        <is>
          <t>2026-08-17</t>
        </is>
      </c>
      <c r="D50" t="n">
        <v>2.2</v>
      </c>
      <c r="E50" t="n">
        <v>2.2</v>
      </c>
      <c r="F50" t="n">
        <v>257.2</v>
      </c>
      <c r="G50" t="n">
        <v>522.8</v>
      </c>
      <c r="H50" t="n">
        <v>3</v>
      </c>
      <c r="I50" t="n">
        <v>94.40000000000001</v>
      </c>
      <c r="J50" t="b">
        <v>0</v>
      </c>
    </row>
    <row r="51">
      <c r="A51" t="n">
        <v>18</v>
      </c>
      <c r="B51" t="inlineStr">
        <is>
          <t>Payments Modernisation</t>
        </is>
      </c>
      <c r="C51" t="inlineStr">
        <is>
          <t>2026-08-24</t>
        </is>
      </c>
      <c r="D51" t="n">
        <v>31.4</v>
      </c>
      <c r="E51" t="n">
        <v>27.6</v>
      </c>
      <c r="F51" t="n">
        <v>3827.2</v>
      </c>
      <c r="G51" t="n">
        <v>6869.8</v>
      </c>
      <c r="H51" t="n">
        <v>31</v>
      </c>
      <c r="I51" t="n">
        <v>94.09999999999999</v>
      </c>
      <c r="J51" t="b">
        <v>0</v>
      </c>
    </row>
    <row r="52">
      <c r="A52" t="n">
        <v>19</v>
      </c>
      <c r="B52" t="inlineStr">
        <is>
          <t>Grid Analytics Assessment</t>
        </is>
      </c>
      <c r="C52" t="inlineStr">
        <is>
          <t>2026-08-03</t>
        </is>
      </c>
      <c r="D52" t="n">
        <v>29</v>
      </c>
      <c r="E52" t="n">
        <v>26.2</v>
      </c>
      <c r="F52" t="n">
        <v>3920</v>
      </c>
      <c r="G52" t="n">
        <v>8545.799999999999</v>
      </c>
      <c r="H52" t="n">
        <v>31</v>
      </c>
      <c r="I52" t="n">
        <v>100</v>
      </c>
      <c r="J52" t="b">
        <v>0</v>
      </c>
    </row>
    <row r="53">
      <c r="A53" t="n">
        <v>19</v>
      </c>
      <c r="B53" t="inlineStr">
        <is>
          <t>Grid Analytics Assessment</t>
        </is>
      </c>
      <c r="C53" t="inlineStr">
        <is>
          <t>2026-08-17</t>
        </is>
      </c>
      <c r="D53" t="n">
        <v>25.9</v>
      </c>
      <c r="E53" t="n">
        <v>23.4</v>
      </c>
      <c r="F53" t="n">
        <v>3526</v>
      </c>
      <c r="G53" t="n">
        <v>7476.2</v>
      </c>
      <c r="H53" t="n">
        <v>27</v>
      </c>
      <c r="I53" t="n">
        <v>94.40000000000001</v>
      </c>
      <c r="J53" t="b">
        <v>0</v>
      </c>
    </row>
    <row r="54">
      <c r="A54" t="n">
        <v>19</v>
      </c>
      <c r="B54" t="inlineStr">
        <is>
          <t>Grid Analytics Assessment</t>
        </is>
      </c>
      <c r="C54" t="inlineStr">
        <is>
          <t>2026-08-24</t>
        </is>
      </c>
      <c r="D54" t="n">
        <v>39.6</v>
      </c>
      <c r="E54" t="n">
        <v>36</v>
      </c>
      <c r="F54" t="n">
        <v>5412</v>
      </c>
      <c r="G54" t="n">
        <v>11721.4</v>
      </c>
      <c r="H54" t="n">
        <v>39</v>
      </c>
      <c r="I54" t="n">
        <v>94.09999999999999</v>
      </c>
      <c r="J54" t="b">
        <v>0</v>
      </c>
    </row>
    <row r="55">
      <c r="A55" t="n">
        <v>19</v>
      </c>
      <c r="B55" t="inlineStr">
        <is>
          <t>Grid Analytics Assessment</t>
        </is>
      </c>
      <c r="C55" t="inlineStr">
        <is>
          <t>2026-08-31</t>
        </is>
      </c>
      <c r="D55" t="n">
        <v>9.6</v>
      </c>
      <c r="E55" t="n">
        <v>7.5</v>
      </c>
      <c r="F55" t="n">
        <v>1266</v>
      </c>
      <c r="G55" t="n">
        <v>2481.6</v>
      </c>
      <c r="H55" t="n">
        <v>9</v>
      </c>
      <c r="I55" t="n">
        <v>76.5</v>
      </c>
      <c r="J55" t="b">
        <v>0</v>
      </c>
    </row>
    <row r="56">
      <c r="A56" t="n">
        <v>20</v>
      </c>
      <c r="B56" t="inlineStr">
        <is>
          <t>Inventory Implementation</t>
        </is>
      </c>
      <c r="C56" t="inlineStr">
        <is>
          <t>2026-08-03</t>
        </is>
      </c>
      <c r="D56" t="n">
        <v>91.7</v>
      </c>
      <c r="E56" t="n">
        <v>85.90000000000001</v>
      </c>
      <c r="F56" t="n">
        <v>9577.6</v>
      </c>
      <c r="G56" t="n">
        <v>21654.1</v>
      </c>
      <c r="H56" t="n">
        <v>84</v>
      </c>
      <c r="I56" t="n">
        <v>100</v>
      </c>
      <c r="J56" t="b">
        <v>0</v>
      </c>
    </row>
    <row r="57">
      <c r="A57" t="n">
        <v>20</v>
      </c>
      <c r="B57" t="inlineStr">
        <is>
          <t>Inventory Implementation</t>
        </is>
      </c>
      <c r="C57" t="inlineStr">
        <is>
          <t>2026-08-17</t>
        </is>
      </c>
      <c r="D57" t="n">
        <v>98.2</v>
      </c>
      <c r="E57" t="n">
        <v>89.5</v>
      </c>
      <c r="F57" t="n">
        <v>9170.1</v>
      </c>
      <c r="G57" t="n">
        <v>20439.7</v>
      </c>
      <c r="H57" t="n">
        <v>95</v>
      </c>
      <c r="I57" t="n">
        <v>94.40000000000001</v>
      </c>
      <c r="J57" t="b">
        <v>0</v>
      </c>
    </row>
    <row r="58">
      <c r="A58" t="n">
        <v>20</v>
      </c>
      <c r="B58" t="inlineStr">
        <is>
          <t>Inventory Implementation</t>
        </is>
      </c>
      <c r="C58" t="inlineStr">
        <is>
          <t>2026-08-24</t>
        </is>
      </c>
      <c r="D58" t="n">
        <v>123.2</v>
      </c>
      <c r="E58" t="n">
        <v>108.6</v>
      </c>
      <c r="F58" t="n">
        <v>11807.8</v>
      </c>
      <c r="G58" t="n">
        <v>25786.6</v>
      </c>
      <c r="H58" t="n">
        <v>99</v>
      </c>
      <c r="I58" t="n">
        <v>94.09999999999999</v>
      </c>
      <c r="J58" t="b">
        <v>0</v>
      </c>
    </row>
    <row r="59">
      <c r="A59" t="n">
        <v>20</v>
      </c>
      <c r="B59" t="inlineStr">
        <is>
          <t>Inventory Implementation</t>
        </is>
      </c>
      <c r="C59" t="inlineStr">
        <is>
          <t>2026-08-31</t>
        </is>
      </c>
      <c r="D59" t="n">
        <v>32</v>
      </c>
      <c r="E59" t="n">
        <v>27.5</v>
      </c>
      <c r="F59" t="n">
        <v>3631</v>
      </c>
      <c r="G59" t="n">
        <v>7521.4</v>
      </c>
      <c r="H59" t="n">
        <v>29</v>
      </c>
      <c r="I59" t="n">
        <v>76.5</v>
      </c>
      <c r="J59" t="b">
        <v>0</v>
      </c>
    </row>
    <row r="60">
      <c r="A60" t="n">
        <v>22</v>
      </c>
      <c r="B60" t="inlineStr">
        <is>
          <t>Billing Platform Assessment</t>
        </is>
      </c>
      <c r="C60" t="inlineStr">
        <is>
          <t>2026-08-03</t>
        </is>
      </c>
      <c r="D60" t="n">
        <v>45.8</v>
      </c>
      <c r="E60" t="n">
        <v>40.2</v>
      </c>
      <c r="F60" t="n">
        <v>5904.4</v>
      </c>
      <c r="G60" t="n">
        <v>11817.8</v>
      </c>
      <c r="H60" t="n">
        <v>48</v>
      </c>
      <c r="I60" t="n">
        <v>100</v>
      </c>
      <c r="J60" t="b">
        <v>0</v>
      </c>
    </row>
    <row r="61">
      <c r="A61" t="n">
        <v>22</v>
      </c>
      <c r="B61" t="inlineStr">
        <is>
          <t>Billing Platform Assessment</t>
        </is>
      </c>
      <c r="C61" t="inlineStr">
        <is>
          <t>2026-08-17</t>
        </is>
      </c>
      <c r="D61" t="n">
        <v>28.2</v>
      </c>
      <c r="E61" t="n">
        <v>27.3</v>
      </c>
      <c r="F61" t="n">
        <v>3352.7</v>
      </c>
      <c r="G61" t="n">
        <v>7140.7</v>
      </c>
      <c r="H61" t="n">
        <v>26</v>
      </c>
      <c r="I61" t="n">
        <v>94.40000000000001</v>
      </c>
      <c r="J61" t="b">
        <v>0</v>
      </c>
    </row>
    <row r="62">
      <c r="A62" t="n">
        <v>22</v>
      </c>
      <c r="B62" t="inlineStr">
        <is>
          <t>Billing Platform Assessment</t>
        </is>
      </c>
      <c r="C62" t="inlineStr">
        <is>
          <t>2026-08-24</t>
        </is>
      </c>
      <c r="D62" t="n">
        <v>40.7</v>
      </c>
      <c r="E62" t="n">
        <v>39.4</v>
      </c>
      <c r="F62" t="n">
        <v>5247.5</v>
      </c>
      <c r="G62" t="n">
        <v>11074.1</v>
      </c>
      <c r="H62" t="n">
        <v>39</v>
      </c>
      <c r="I62" t="n">
        <v>94.09999999999999</v>
      </c>
      <c r="J62" t="b">
        <v>0</v>
      </c>
    </row>
    <row r="63">
      <c r="A63" t="n">
        <v>22</v>
      </c>
      <c r="B63" t="inlineStr">
        <is>
          <t>Billing Platform Assessment</t>
        </is>
      </c>
      <c r="C63" t="inlineStr">
        <is>
          <t>2026-08-31</t>
        </is>
      </c>
      <c r="D63" t="n">
        <v>4.2</v>
      </c>
      <c r="E63" t="n">
        <v>4.2</v>
      </c>
      <c r="F63" t="n">
        <v>936.6</v>
      </c>
      <c r="G63" t="n">
        <v>1965.6</v>
      </c>
      <c r="H63" t="n">
        <v>4</v>
      </c>
      <c r="I63" t="n">
        <v>76.5</v>
      </c>
      <c r="J63" t="b">
        <v>0</v>
      </c>
    </row>
    <row r="64">
      <c r="A64" t="n">
        <v>23</v>
      </c>
      <c r="B64" t="inlineStr">
        <is>
          <t>Asset Register Assessment</t>
        </is>
      </c>
      <c r="C64" t="inlineStr">
        <is>
          <t>2026-08-03</t>
        </is>
      </c>
      <c r="D64" t="n">
        <v>17.2</v>
      </c>
      <c r="E64" t="n">
        <v>16.5</v>
      </c>
      <c r="F64" t="n">
        <v>2516.2</v>
      </c>
      <c r="G64" t="n">
        <v>5072.1</v>
      </c>
      <c r="H64" t="n">
        <v>13</v>
      </c>
      <c r="I64" t="n">
        <v>100</v>
      </c>
      <c r="J64" t="b">
        <v>0</v>
      </c>
    </row>
    <row r="65">
      <c r="A65" t="n">
        <v>23</v>
      </c>
      <c r="B65" t="inlineStr">
        <is>
          <t>Asset Register Assessment</t>
        </is>
      </c>
      <c r="C65" t="inlineStr">
        <is>
          <t>2026-08-10</t>
        </is>
      </c>
      <c r="D65" t="n">
        <v>87</v>
      </c>
      <c r="E65" t="n">
        <v>80.2</v>
      </c>
      <c r="F65" t="n">
        <v>12103.1</v>
      </c>
      <c r="G65" t="n">
        <v>24097</v>
      </c>
      <c r="H65" t="n">
        <v>69</v>
      </c>
      <c r="I65" t="n">
        <v>16.7</v>
      </c>
      <c r="J65" t="b">
        <v>1</v>
      </c>
    </row>
    <row r="66">
      <c r="A66" t="n">
        <v>23</v>
      </c>
      <c r="B66" t="inlineStr">
        <is>
          <t>Asset Register Assessment</t>
        </is>
      </c>
      <c r="C66" t="inlineStr">
        <is>
          <t>2026-08-17</t>
        </is>
      </c>
      <c r="D66" t="n">
        <v>13.7</v>
      </c>
      <c r="E66" t="n">
        <v>12.5</v>
      </c>
      <c r="F66" t="n">
        <v>2356.4</v>
      </c>
      <c r="G66" t="n">
        <v>4312.5</v>
      </c>
      <c r="H66" t="n">
        <v>16</v>
      </c>
      <c r="I66" t="n">
        <v>94.40000000000001</v>
      </c>
      <c r="J66" t="b">
        <v>0</v>
      </c>
    </row>
    <row r="67">
      <c r="A67" t="n">
        <v>23</v>
      </c>
      <c r="B67" t="inlineStr">
        <is>
          <t>Asset Register Assessment</t>
        </is>
      </c>
      <c r="C67" t="inlineStr">
        <is>
          <t>2026-08-24</t>
        </is>
      </c>
      <c r="D67" t="n">
        <v>19.4</v>
      </c>
      <c r="E67" t="n">
        <v>16.1</v>
      </c>
      <c r="F67" t="n">
        <v>2566.3</v>
      </c>
      <c r="G67" t="n">
        <v>4473.5</v>
      </c>
      <c r="H67" t="n">
        <v>16</v>
      </c>
      <c r="I67" t="n">
        <v>94.09999999999999</v>
      </c>
      <c r="J67" t="b">
        <v>0</v>
      </c>
    </row>
    <row r="68">
      <c r="A68" t="n">
        <v>25</v>
      </c>
      <c r="B68" t="inlineStr">
        <is>
          <t>Billing Platform Implementation</t>
        </is>
      </c>
      <c r="C68" t="inlineStr">
        <is>
          <t>2026-08-03</t>
        </is>
      </c>
      <c r="D68" t="n">
        <v>33.9</v>
      </c>
      <c r="E68" t="n">
        <v>28.3</v>
      </c>
      <c r="F68" t="n">
        <v>4500.8</v>
      </c>
      <c r="G68" t="n">
        <v>8091.5</v>
      </c>
      <c r="H68" t="n">
        <v>32</v>
      </c>
      <c r="I68" t="n">
        <v>100</v>
      </c>
      <c r="J68" t="b">
        <v>0</v>
      </c>
    </row>
    <row r="69">
      <c r="A69" t="n">
        <v>29</v>
      </c>
      <c r="B69" t="inlineStr">
        <is>
          <t>Grid Analytics Integration</t>
        </is>
      </c>
      <c r="C69" t="inlineStr">
        <is>
          <t>2026-08-03</t>
        </is>
      </c>
      <c r="D69" t="n">
        <v>22.2</v>
      </c>
      <c r="E69" t="n">
        <v>21</v>
      </c>
      <c r="F69" t="n">
        <v>2579.4</v>
      </c>
      <c r="G69" t="n">
        <v>5375.7</v>
      </c>
      <c r="H69" t="n">
        <v>23</v>
      </c>
      <c r="I69" t="n">
        <v>100</v>
      </c>
      <c r="J69" t="b">
        <v>0</v>
      </c>
    </row>
    <row r="70">
      <c r="A70" t="n">
        <v>29</v>
      </c>
      <c r="B70" t="inlineStr">
        <is>
          <t>Grid Analytics Integration</t>
        </is>
      </c>
      <c r="C70" t="inlineStr">
        <is>
          <t>2026-08-17</t>
        </is>
      </c>
      <c r="D70" t="n">
        <v>57.5</v>
      </c>
      <c r="E70" t="n">
        <v>49.8</v>
      </c>
      <c r="F70" t="n">
        <v>6358.1</v>
      </c>
      <c r="G70" t="n">
        <v>11510.6</v>
      </c>
      <c r="H70" t="n">
        <v>46</v>
      </c>
      <c r="I70" t="n">
        <v>94.40000000000001</v>
      </c>
      <c r="J70" t="b">
        <v>0</v>
      </c>
    </row>
    <row r="71">
      <c r="A71" t="n">
        <v>29</v>
      </c>
      <c r="B71" t="inlineStr">
        <is>
          <t>Grid Analytics Integration</t>
        </is>
      </c>
      <c r="C71" t="inlineStr">
        <is>
          <t>2026-08-24</t>
        </is>
      </c>
      <c r="D71" t="n">
        <v>62.7</v>
      </c>
      <c r="E71" t="n">
        <v>60.2</v>
      </c>
      <c r="F71" t="n">
        <v>7159.7</v>
      </c>
      <c r="G71" t="n">
        <v>14644.7</v>
      </c>
      <c r="H71" t="n">
        <v>52</v>
      </c>
      <c r="I71" t="n">
        <v>94.09999999999999</v>
      </c>
      <c r="J71" t="b">
        <v>0</v>
      </c>
    </row>
    <row r="72">
      <c r="A72" t="n">
        <v>29</v>
      </c>
      <c r="B72" t="inlineStr">
        <is>
          <t>Grid Analytics Integration</t>
        </is>
      </c>
      <c r="C72" t="inlineStr">
        <is>
          <t>2026-08-31</t>
        </is>
      </c>
      <c r="D72" t="n">
        <v>13.6</v>
      </c>
      <c r="E72" t="n">
        <v>13.3</v>
      </c>
      <c r="F72" t="n">
        <v>1572.8</v>
      </c>
      <c r="G72" t="n">
        <v>3149.3</v>
      </c>
      <c r="H72" t="n">
        <v>18</v>
      </c>
      <c r="I72" t="n">
        <v>76.5</v>
      </c>
      <c r="J72" t="b">
        <v>0</v>
      </c>
    </row>
    <row r="73">
      <c r="A73" t="n">
        <v>30</v>
      </c>
      <c r="B73" t="inlineStr">
        <is>
          <t>Asset Register Migration</t>
        </is>
      </c>
      <c r="C73" t="inlineStr">
        <is>
          <t>2026-08-03</t>
        </is>
      </c>
      <c r="D73" t="n">
        <v>46.3</v>
      </c>
      <c r="E73" t="n">
        <v>38.4</v>
      </c>
      <c r="F73" t="n">
        <v>4946.6</v>
      </c>
      <c r="G73" t="n">
        <v>9630.700000000001</v>
      </c>
      <c r="H73" t="n">
        <v>43</v>
      </c>
      <c r="I73" t="n">
        <v>100</v>
      </c>
      <c r="J73" t="b">
        <v>0</v>
      </c>
    </row>
    <row r="74">
      <c r="A74" t="n">
        <v>30</v>
      </c>
      <c r="B74" t="inlineStr">
        <is>
          <t>Asset Register Migration</t>
        </is>
      </c>
      <c r="C74" t="inlineStr">
        <is>
          <t>2026-08-17</t>
        </is>
      </c>
      <c r="D74" t="n">
        <v>62.2</v>
      </c>
      <c r="E74" t="n">
        <v>54.8</v>
      </c>
      <c r="F74" t="n">
        <v>6783.9</v>
      </c>
      <c r="G74" t="n">
        <v>13660.2</v>
      </c>
      <c r="H74" t="n">
        <v>54</v>
      </c>
      <c r="I74" t="n">
        <v>94.40000000000001</v>
      </c>
      <c r="J74" t="b">
        <v>0</v>
      </c>
    </row>
    <row r="75">
      <c r="A75" t="n">
        <v>30</v>
      </c>
      <c r="B75" t="inlineStr">
        <is>
          <t>Asset Register Migration</t>
        </is>
      </c>
      <c r="C75" t="inlineStr">
        <is>
          <t>2026-08-24</t>
        </is>
      </c>
      <c r="D75" t="n">
        <v>31.5</v>
      </c>
      <c r="E75" t="n">
        <v>26.4</v>
      </c>
      <c r="F75" t="n">
        <v>2853.6</v>
      </c>
      <c r="G75" t="n">
        <v>5657.6</v>
      </c>
      <c r="H75" t="n">
        <v>30</v>
      </c>
      <c r="I75" t="n">
        <v>94.09999999999999</v>
      </c>
      <c r="J75" t="b">
        <v>0</v>
      </c>
    </row>
    <row r="76">
      <c r="A76" t="n">
        <v>30</v>
      </c>
      <c r="B76" t="inlineStr">
        <is>
          <t>Asset Register Migration</t>
        </is>
      </c>
      <c r="C76" t="inlineStr">
        <is>
          <t>2026-08-31</t>
        </is>
      </c>
      <c r="D76" t="n">
        <v>11.2</v>
      </c>
      <c r="E76" t="n">
        <v>6.8</v>
      </c>
      <c r="F76" t="n">
        <v>919.2</v>
      </c>
      <c r="G76" t="n">
        <v>1306.5</v>
      </c>
      <c r="H76" t="n">
        <v>11</v>
      </c>
      <c r="I76" t="n">
        <v>76.5</v>
      </c>
      <c r="J7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2" customWidth="1" min="3" max="3"/>
    <col width="52" customWidth="1" min="4" max="4"/>
    <col width="52" customWidth="1" min="5" max="5"/>
    <col width="17" customWidth="1" min="6" max="6"/>
  </cols>
  <sheetData>
    <row r="1">
      <c r="A1" s="2" t="inlineStr">
        <is>
          <t>engagement_id</t>
        </is>
      </c>
      <c r="B1" s="2" t="inlineStr">
        <is>
          <t>flag</t>
        </is>
      </c>
      <c r="C1" s="2" t="inlineStr">
        <is>
          <t>situation</t>
        </is>
      </c>
      <c r="D1" s="2" t="inlineStr">
        <is>
          <t>cause</t>
        </is>
      </c>
      <c r="E1" s="2" t="inlineStr">
        <is>
          <t>recommended_action</t>
        </is>
      </c>
      <c r="F1" s="2" t="inlineStr">
        <is>
          <t>decision_owner</t>
        </is>
      </c>
    </row>
    <row r="2">
      <c r="A2" t="inlineStr">
        <is>
          <t>No engagement was flagged by scope-escalation this period.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Record quality — entries in the period</t>
        </is>
      </c>
    </row>
    <row r="2">
      <c r="A2" t="inlineStr">
        <is>
          <t>Time entries in the period</t>
        </is>
      </c>
      <c r="B2" t="n">
        <v>2774</v>
      </c>
      <c r="C2" t="inlineStr">
        <is>
          <t>entry_count</t>
        </is>
      </c>
    </row>
    <row r="3">
      <c r="A3" t="inlineStr">
        <is>
          <t>Filed after the period closed</t>
        </is>
      </c>
      <c r="B3" t="n">
        <v>160</v>
      </c>
      <c r="C3" t="inlineStr">
        <is>
          <t>late_entries</t>
        </is>
      </c>
    </row>
    <row r="4">
      <c r="A4" t="inlineStr">
        <is>
          <t>Filed late, as a percentage</t>
        </is>
      </c>
      <c r="B4" t="n">
        <v>5.8</v>
      </c>
      <c r="C4" t="inlineStr">
        <is>
          <t>late_entry_pct</t>
        </is>
      </c>
    </row>
    <row r="5">
      <c r="A5" t="inlineStr">
        <is>
          <t>No billable flag set</t>
        </is>
      </c>
      <c r="B5" t="n">
        <v>2</v>
      </c>
      <c r="C5" t="inlineStr">
        <is>
          <t>null_billable</t>
        </is>
      </c>
    </row>
    <row r="6">
      <c r="A6" t="inlineStr">
        <is>
          <t>Redundant rows: same person, engagement, day and hours</t>
        </is>
      </c>
      <c r="B6" t="n">
        <v>1</v>
      </c>
      <c r="C6" t="inlineStr">
        <is>
          <t>suspected_duplicates</t>
        </is>
      </c>
    </row>
    <row r="7">
      <c r="A7" t="inlineStr">
        <is>
          <t>Distinct duplicate groups</t>
        </is>
      </c>
      <c r="B7" t="n">
        <v>1</v>
      </c>
      <c r="C7" t="inlineStr">
        <is>
          <t>duplicate_groups</t>
        </is>
      </c>
    </row>
    <row r="9">
      <c r="A9" s="1" t="inlineStr">
        <is>
          <t>Reporting coverage by week</t>
        </is>
      </c>
    </row>
    <row r="10">
      <c r="A10" s="2" t="inlineStr">
        <is>
          <t>week_start</t>
        </is>
      </c>
      <c r="B10" s="2" t="inlineStr">
        <is>
          <t>week_end</t>
        </is>
      </c>
      <c r="C10" s="2" t="inlineStr">
        <is>
          <t>engagements_active</t>
        </is>
      </c>
      <c r="D10" s="2" t="inlineStr">
        <is>
          <t>engagements_reporting</t>
        </is>
      </c>
      <c r="E10" s="2" t="inlineStr">
        <is>
          <t>pct_active_reporting</t>
        </is>
      </c>
      <c r="F10" s="2" t="inlineStr">
        <is>
          <t>firm_wide_gap</t>
        </is>
      </c>
    </row>
    <row r="11">
      <c r="A11" t="inlineStr">
        <is>
          <t>2026-07-27</t>
        </is>
      </c>
      <c r="B11" t="inlineStr">
        <is>
          <t>2026-08-02</t>
        </is>
      </c>
      <c r="C11" t="n">
        <v>18</v>
      </c>
      <c r="D11" t="n">
        <v>18</v>
      </c>
      <c r="E11" t="n">
        <v>100</v>
      </c>
      <c r="F11" t="b">
        <v>0</v>
      </c>
    </row>
    <row r="12">
      <c r="A12" t="inlineStr">
        <is>
          <t>2026-08-03</t>
        </is>
      </c>
      <c r="B12" t="inlineStr">
        <is>
          <t>2026-08-09</t>
        </is>
      </c>
      <c r="C12" t="n">
        <v>18</v>
      </c>
      <c r="D12" t="n">
        <v>18</v>
      </c>
      <c r="E12" t="n">
        <v>100</v>
      </c>
      <c r="F12" t="b">
        <v>0</v>
      </c>
    </row>
    <row r="13">
      <c r="A13" t="inlineStr">
        <is>
          <t>2026-08-10</t>
        </is>
      </c>
      <c r="B13" t="inlineStr">
        <is>
          <t>2026-08-16</t>
        </is>
      </c>
      <c r="C13" t="n">
        <v>18</v>
      </c>
      <c r="D13" t="n">
        <v>3</v>
      </c>
      <c r="E13" t="n">
        <v>16.7</v>
      </c>
      <c r="F13" t="b">
        <v>1</v>
      </c>
    </row>
    <row r="14">
      <c r="A14" t="inlineStr">
        <is>
          <t>2026-08-17</t>
        </is>
      </c>
      <c r="B14" t="inlineStr">
        <is>
          <t>2026-08-23</t>
        </is>
      </c>
      <c r="C14" t="n">
        <v>18</v>
      </c>
      <c r="D14" t="n">
        <v>17</v>
      </c>
      <c r="E14" t="n">
        <v>94.40000000000001</v>
      </c>
      <c r="F14" t="b">
        <v>0</v>
      </c>
    </row>
    <row r="15">
      <c r="A15" t="inlineStr">
        <is>
          <t>2026-08-24</t>
        </is>
      </c>
      <c r="B15" t="inlineStr">
        <is>
          <t>2026-08-30</t>
        </is>
      </c>
      <c r="C15" t="n">
        <v>17</v>
      </c>
      <c r="D15" t="n">
        <v>16</v>
      </c>
      <c r="E15" t="n">
        <v>94.09999999999999</v>
      </c>
      <c r="F15" t="b">
        <v>0</v>
      </c>
    </row>
    <row r="16">
      <c r="A16" t="inlineStr">
        <is>
          <t>2026-08-31</t>
        </is>
      </c>
      <c r="B16" t="inlineStr">
        <is>
          <t>2026-09-06</t>
        </is>
      </c>
      <c r="C16" t="n">
        <v>17</v>
      </c>
      <c r="D16" t="n">
        <v>13</v>
      </c>
      <c r="E16" t="n">
        <v>76.5</v>
      </c>
      <c r="F16" t="b">
        <v>0</v>
      </c>
    </row>
    <row r="18">
      <c r="A18" s="1" t="inlineStr">
        <is>
          <t>Data notes</t>
        </is>
      </c>
    </row>
    <row r="19" ht="46" customHeight="1">
      <c r="A19" s="3" t="inlineStr">
        <is>
          <t>Week of 2026-08-10: 16.7% of active engagements filed time, below the 60% coverage floor. This week is a filing artifact. It is excluded from every run rate and projection in this workbook, and delivery for the week cannot be measured from the data.</t>
        </is>
      </c>
    </row>
    <row r="21">
      <c r="A21" s="1" t="inlineStr">
        <is>
          <t>Projections reported with low confidence</t>
        </is>
      </c>
    </row>
    <row r="22">
      <c r="A22" s="2" t="inlineStr">
        <is>
          <t>engagement_id</t>
        </is>
      </c>
      <c r="B22" s="2" t="inlineStr">
        <is>
          <t>projection_confidence</t>
        </is>
      </c>
      <c r="C22" s="2" t="inlineStr">
        <is>
          <t>confidence_reason</t>
        </is>
      </c>
    </row>
    <row r="23">
      <c r="A23" t="n">
        <v>25</v>
      </c>
      <c r="B23" t="inlineStr">
        <is>
          <t>low</t>
        </is>
      </c>
      <c r="C23" t="inlineStr">
        <is>
          <t>2 of the trailing 4 readable weeks have no time logged against this engagement</t>
        </is>
      </c>
    </row>
  </sheetData>
  <mergeCells count="1"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2026-08-22T02:03:16Z</dcterms:created>
  <dcterms:modified xsi:type="dcterms:W3CDTF">2026-08-22T02:03:16Z</dcterms:modified>
</cp:coreProperties>
</file>